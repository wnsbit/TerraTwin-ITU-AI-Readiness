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5f2943f53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 Input" sheetId="1" r:id="R85ed923ea307402e"/>
    <x:sheet xmlns:r="http://schemas.openxmlformats.org/officeDocument/2006/relationships" name="Readiness Score" sheetId="2" r:id="R1c6bcdc087be480e"/>
    <x:sheet xmlns:r="http://schemas.openxmlformats.org/officeDocument/2006/relationships" name="Digital Twin Simulation" sheetId="3" r:id="Ra91c0287e21d4b2d"/>
    <x:sheet xmlns:r="http://schemas.openxmlformats.org/officeDocument/2006/relationships" name="Y.3172 Pipeline Map" sheetId="4" r:id="R66b4bb58b9304978"/>
    <x:sheet xmlns:r="http://schemas.openxmlformats.org/officeDocument/2006/relationships" name="Recommendation Report" sheetId="5" r:id="Rd5555b7c881c4366"/>
    <x:sheet xmlns:r="http://schemas.openxmlformats.org/officeDocument/2006/relationships" name="Policy Gaps" sheetId="6" r:id="Rb12268797f1b4a96"/>
  </x:sheets>
</x:workbook>
</file>

<file path=xl/sharedStrings.xml><?xml version="1.0" encoding="utf-8"?>
<x:sst xmlns:x="http://schemas.openxmlformats.org/spreadsheetml/2006/main">
  <x:si>
    <x:t xml:space="preserve">TerraTwin — Farm Input (Prototype Scenario, Sample Data)</x:t>
  </x:si>
  <x:si>
    <x:t xml:space="preserve">Blue cells = editable sample inputs. Jazan highland coffee farm, illustrative only.</x:t>
  </x:si>
  <x:si>
    <x:t xml:space="preserve">Category</x:t>
  </x:si>
  <x:si>
    <x:t xml:space="preserve">Question</x:t>
  </x:si>
  <x:si>
    <x:t xml:space="preserve">Answer</x:t>
  </x:si>
  <x:si>
    <x:t xml:space="preserve">Score</x:t>
  </x:si>
  <x:si>
    <x:t xml:space="preserve">Max Score</x:t>
  </x:si>
  <x:si>
    <x:t xml:space="preserve">Notes</x:t>
  </x:si>
  <x:si>
    <x:t xml:space="preserve">Data Readiness</x:t>
  </x:si>
  <x:si>
    <x:t xml:space="preserve">Does the farm keep any digital record of irrigation?</x:t>
  </x:si>
  <x:si>
    <x:t xml:space="preserve">Partial (paper + phone notes)</x:t>
  </x:si>
  <x:si>
    <x:t xml:space="preserve">Is soil condition data available (type, moisture)?</x:t>
  </x:si>
  <x:si>
    <x:t xml:space="preserve">Basic soil type known, no sensor data</x:t>
  </x:si>
  <x:si>
    <x:t xml:space="preserve">Is historical yield data recorded (&gt;=2 seasons)?</x:t>
  </x:si>
  <x:si>
    <x:t xml:space="preserve">1 season only</x:t>
  </x:si>
  <x:si>
    <x:t xml:space="preserve">Is local weather data accessible (forecasts/history)?</x:t>
  </x:si>
  <x:si>
    <x:t xml:space="preserve">Yes, via public weather app</x:t>
  </x:si>
  <x:si>
    <x:t xml:space="preserve">Is pest/disease incidence tracked in any form?</x:t>
  </x:si>
  <x:si>
    <x:t xml:space="preserve">No formal tracking</x:t>
  </x:si>
  <x:si>
    <x:t xml:space="preserve">Infrastructure Readiness</x:t>
  </x:si>
  <x:si>
    <x:t xml:space="preserve">Is mobile/internet connectivity reliable on-site?</x:t>
  </x:si>
  <x:si>
    <x:t xml:space="preserve">Reliable 4G</x:t>
  </x:si>
  <x:si>
    <x:t xml:space="preserve">Are any sensors (soil/weather) installed on the farm?</x:t>
  </x:si>
  <x:si>
    <x:t xml:space="preserve">None installed</x:t>
  </x:si>
  <x:si>
    <x:t xml:space="preserve">Is there reliable access to a smartphone or computer?</x:t>
  </x:si>
  <x:si>
    <x:t xml:space="preserve">Smartphone, shared among family</x:t>
  </x:si>
  <x:si>
    <x:t xml:space="preserve">Is electrical power reliably available?</x:t>
  </x:si>
  <x:si>
    <x:t xml:space="preserve">Reliable, occasional outages</x:t>
  </x:si>
  <x:si>
    <x:t xml:space="preserve">Skills Readiness</x:t>
  </x:si>
  <x:si>
    <x:t xml:space="preserve">Can the farm operator use a smartphone app confidently?</x:t>
  </x:si>
  <x:si>
    <x:t xml:space="preserve">Yes, comfortable with apps</x:t>
  </x:si>
  <x:si>
    <x:t xml:space="preserve">Is there access to agricultural extension / technical support?</x:t>
  </x:si>
  <x:si>
    <x:t xml:space="preserve">Occasional visits from MEWA extension officer</x:t>
  </x:si>
  <x:si>
    <x:t xml:space="preserve">Has the operator had any exposure to digital farming tools?</x:t>
  </x:si>
  <x:si>
    <x:t xml:space="preserve">Limited exposure, open to learning</x:t>
  </x:si>
  <x:si>
    <x:t xml:space="preserve">Governance Readiness</x:t>
  </x:si>
  <x:si>
    <x:t xml:space="preserve">Is there any written data-sharing consent practice?</x:t>
  </x:si>
  <x:si>
    <x:t xml:space="preserve">No formal consent process</x:t>
  </x:si>
  <x:si>
    <x:t xml:space="preserve">Is the operator aware of PDPL / data protection basics?</x:t>
  </x:si>
  <x:si>
    <x:t xml:space="preserve">Not aware</x:t>
  </x:si>
  <x:si>
    <x:t xml:space="preserve">Are there farm-level record-keeping practices (any form)?</x:t>
  </x:si>
  <x:si>
    <x:t xml:space="preserve">Informal notebook only</x:t>
  </x:si>
  <x:si>
    <x:t xml:space="preserve">Is there awareness of relevant AI ethics guidance (SDAIA)?</x:t>
  </x:si>
  <x:si>
    <x:t xml:space="preserve">Sandbox Readiness</x:t>
  </x:si>
  <x:si>
    <x:t xml:space="preserve">Would the operator trial a recommendation on a small plot first?</x:t>
  </x:si>
  <x:si>
    <x:t xml:space="preserve">Yes, open to small-scale trial</x:t>
  </x:si>
  <x:si>
    <x:t xml:space="preserve">Is there tolerance for a season of reduced yield while testing?</x:t>
  </x:si>
  <x:si>
    <x:t xml:space="preserve">Some tolerance, cautious</x:t>
  </x:si>
  <x:si>
    <x:t xml:space="preserve">Is there interest in seeing a simulated outcome before acting?</x:t>
  </x:si>
  <x:si>
    <x:t xml:space="preserve">Very interested</x:t>
  </x:si>
  <x:si>
    <x:t xml:space="preserve">TerraTwin — AI Readiness Score (live, linked to Farm Input)</x:t>
  </x:si>
  <x:si>
    <x:t xml:space="preserve">Dimension</x:t>
  </x:si>
  <x:si>
    <x:t xml:space="preserve">Max</x:t>
  </x:si>
  <x:si>
    <x:t xml:space="preserve">Actual</x:t>
  </x:si>
  <x:si>
    <x:t xml:space="preserve">Percentage</x:t>
  </x:si>
  <x:si>
    <x:t xml:space="preserve">Status</x:t>
  </x:si>
  <x:si>
    <x:t xml:space="preserve">Main Gap</x:t>
  </x:si>
  <x:si>
    <x:t xml:space="preserve">Historical yield data and pest/disease tracking are the weakest points.</x:t>
  </x:si>
  <x:si>
    <x:t xml:space="preserve">No on-farm sensors installed.</x:t>
  </x:si>
  <x:si>
    <x:t xml:space="preserve">Limited exposure to digital farming tools, though attitude is positive.</x:t>
  </x:si>
  <x:si>
    <x:t xml:space="preserve">No formal consent process and low PDPL/AI-ethics awareness.</x:t>
  </x:si>
  <x:si>
    <x:t xml:space="preserve">Strong openness to trial-based, sandboxed adoption.</x:t>
  </x:si>
  <x:si>
    <x:t xml:space="preserve">TOTAL</x:t>
  </x:si>
  <x:si>
    <x:t xml:space="preserve">TerraTwin — Digital Twin Simulation (Y.3172 ML Sandbox implementation)</x:t>
  </x:si>
  <x:si>
    <x:t xml:space="preserve">Rule-based prototype. Each scenario is tested in the sandbox before any recommendation reaches the farmer (Policy node).</x:t>
  </x:si>
  <x:si>
    <x:t xml:space="preserve">Scenario</x:t>
  </x:si>
  <x:si>
    <x:t xml:space="preserve">Input Condition</x:t>
  </x:si>
  <x:si>
    <x:t xml:space="preserve">Rule Logic</x:t>
  </x:si>
  <x:si>
    <x:t xml:space="preserve">Expected Impact</x:t>
  </x:si>
  <x:si>
    <x:t xml:space="preserve">Risk Level</x:t>
  </x:si>
  <x:si>
    <x:t xml:space="preserve">Recommendation</x:t>
  </x:si>
  <x:si>
    <x:t xml:space="preserve">Data Confidence</x:t>
  </x:si>
  <x:si>
    <x:t xml:space="preserve">Irrigation delay</x:t>
  </x:si>
  <x:si>
    <x:t xml:space="preserve">Soil moisture below threshold, irrigation delayed 2 days</x:t>
  </x:si>
  <x:si>
    <x:t xml:space="preserve">IF soil_moisture &lt; 30% AND delay_days &gt;= 2 THEN flag stress risk</x:t>
  </x:si>
  <x:si>
    <x:t xml:space="preserve">Estimated 8-12% yield stress risk if delay continues past day 3</x:t>
  </x:si>
  <x:si>
    <x:t xml:space="preserve">Medium</x:t>
  </x:si>
  <x:si>
    <x:t xml:space="preserve">Irrigate within 24 hours; re-check soil moisture before acting</x:t>
  </x:si>
  <x:si>
    <x:t xml:space="preserve">Low (sample data)</x:t>
  </x:si>
  <x:si>
    <x:t xml:space="preserve">Pest-risk alert</x:t>
  </x:si>
  <x:si>
    <x:t xml:space="preserve">Reported leaf discoloration + high humidity week</x:t>
  </x:si>
  <x:si>
    <x:t xml:space="preserve">IF symptom_report = TRUE AND humidity &gt; 80% THEN raise pest-risk flag</x:t>
  </x:si>
  <x:si>
    <x:t xml:space="preserve">Early-stage coffee leaf rust risk if untreated within 5-7 days</x:t>
  </x:si>
  <x:si>
    <x:t xml:space="preserve">High</x:t>
  </x:si>
  <x:si>
    <x:t xml:space="preserve">Recommend inspection by extension officer before treatment</x:t>
  </x:si>
  <x:si>
    <x:t xml:space="preserve">Over-fertilization</x:t>
  </x:si>
  <x:si>
    <x:t xml:space="preserve">Fertilizer applied above recommended seasonal rate</x:t>
  </x:si>
  <x:si>
    <x:t xml:space="preserve">IF fertilizer_applied &gt; recommended_max THEN raise governance/safety flag</x:t>
  </x:si>
  <x:si>
    <x:t xml:space="preserve">Risk of root stress and runoff; no yield benefit above threshold</x:t>
  </x:si>
  <x:si>
    <x:t xml:space="preserve">Hold further applications for the season; log for review</x:t>
  </x:si>
  <x:si>
    <x:t xml:space="preserve">Drought-stress response</x:t>
  </x:si>
  <x:si>
    <x:t xml:space="preserve">Extended dry spell forecast (7+ days, no rain)</x:t>
  </x:si>
  <x:si>
    <x:t xml:space="preserve">IF forecast_dry_days &gt;= 7 THEN raise water-management flag</x:t>
  </x:si>
  <x:si>
    <x:t xml:space="preserve">Significant yield risk without supplemental irrigation plan</x:t>
  </x:si>
  <x:si>
    <x:t xml:space="preserve">Prioritize water allocation to most water-stressed plots first</x:t>
  </x:si>
  <x:si>
    <x:t xml:space="preserve">TerraTwin — ITU-T Y.3172 Pipeline Mapping</x:t>
  </x:si>
  <x:si>
    <x:t xml:space="preserve">Y.3172 Node</x:t>
  </x:si>
  <x:si>
    <x:t xml:space="preserve">Definition (clause 8.1)</x:t>
  </x:si>
  <x:si>
    <x:t xml:space="preserve">TerraTwin Implementation</x:t>
  </x:si>
  <x:si>
    <x:t xml:space="preserve">Output</x:t>
  </x:si>
  <x:si>
    <x:t xml:space="preserve">SRC (Source)</x:t>
  </x:si>
  <x:si>
    <x:t xml:space="preserve">Source of data used as input to the ML pipeline.</x:t>
  </x:si>
  <x:si>
    <x:t xml:space="preserve">Farm data entry: soil, irrigation, weather, prior yield, pest observations (sample data).</x:t>
  </x:si>
  <x:si>
    <x:t xml:space="preserve">Raw farm observations</x:t>
  </x:si>
  <x:si>
    <x:t xml:space="preserve">C (Collector)</x:t>
  </x:si>
  <x:si>
    <x:t xml:space="preserve">Collects data from one or more SRC nodes.</x:t>
  </x:si>
  <x:si>
    <x:t xml:space="preserve">Intake layer consolidating farm-input answers into one farm profile record.</x:t>
  </x:si>
  <x:si>
    <x:t xml:space="preserve">Consolidated farm profile</x:t>
  </x:si>
  <x:si>
    <x:t xml:space="preserve">PP (Pre-processor)</x:t>
  </x:si>
  <x:si>
    <x:t xml:space="preserve">Cleans, aggregates, prepares data for the model.</x:t>
  </x:si>
  <x:si>
    <x:t xml:space="preserve">Normalizes answers into the scoring scale and simulation input format.</x:t>
  </x:si>
  <x:si>
    <x:t xml:space="preserve">Structured inputs</x:t>
  </x:si>
  <x:si>
    <x:t xml:space="preserve">M (Model)</x:t>
  </x:si>
  <x:si>
    <x:t xml:space="preserve">The ML model itself.</x:t>
  </x:si>
  <x:si>
    <x:t xml:space="preserve">Rule-based readiness-scoring engine + rule-based digital-twin simulation engine (prototype).</x:t>
  </x:si>
  <x:si>
    <x:t xml:space="preserve">Score; simulated outcome</x:t>
  </x:si>
  <x:si>
    <x:t xml:space="preserve">P (Policy)</x:t>
  </x:si>
  <x:si>
    <x:t xml:space="preserve">Applies policy to model output before real-world action.</x:t>
  </x:si>
  <x:si>
    <x:t xml:space="preserve">Governance/safety checks (e.g., minimum irrigation interval, PDPL flags) before recommendations surface.</x:t>
  </x:si>
  <x:si>
    <x:t xml:space="preserve">Approved recommendation</x:t>
  </x:si>
  <x:si>
    <x:t xml:space="preserve">D (Distributor)</x:t>
  </x:si>
  <x:si>
    <x:t xml:space="preserve">Identifies SINK(s) and distributes model output.</x:t>
  </x:si>
  <x:si>
    <x:t xml:space="preserve">Routes recommendations to the farmer dashboard and regional reporting view.</x:t>
  </x:si>
  <x:si>
    <x:t xml:space="preserve">Targeted delivery</x:t>
  </x:si>
  <x:si>
    <x:t xml:space="preserve">SINK</x:t>
  </x:si>
  <x:si>
    <x:t xml:space="preserve">Target of ML output that takes action.</x:t>
  </x:si>
  <x:si>
    <x:t xml:space="preserve">Farmer dashboard showing recommendation and simulated growth/status result.</x:t>
  </x:si>
  <x:si>
    <x:t xml:space="preserve">Actioned decision</x:t>
  </x:si>
  <x:si>
    <x:t xml:space="preserve">MLFO</x:t>
  </x:si>
  <x:si>
    <x:t xml:space="preserve">Manages and orchestrates ML pipeline nodes based on intent/conditions.</x:t>
  </x:si>
  <x:si>
    <x:t xml:space="preserve">Orchestration logic sequencing PP -&gt; M -&gt; P -&gt; D per run and updating the rule set as data grows.</x:t>
  </x:si>
  <x:si>
    <x:t xml:space="preserve">Coordinated pipeline execution</x:t>
  </x:si>
  <x:si>
    <x:t xml:space="preserve">ML Sandbox</x:t>
  </x:si>
  <x:si>
    <x:t xml:space="preserve">Isolated environment to train/test/evaluate before live deployment.</x:t>
  </x:si>
  <x:si>
    <x:t xml:space="preserve">Digital Twin Simulation sheet: tests each candidate decision before it reaches the farmer.</x:t>
  </x:si>
  <x:si>
    <x:t xml:space="preserve">Validated / rejected simulated action</x:t>
  </x:si>
  <x:si>
    <x:t xml:space="preserve">TerraTwin — Recommendation Report (auto-generated from Readiness Score)</x:t>
  </x:si>
  <x:si>
    <x:t xml:space="preserve">Overall AI Readiness Score:</x:t>
  </x:si>
  <x:si>
    <x:t xml:space="preserve">Status:</x:t>
  </x:si>
  <x:si>
    <x:t xml:space="preserve">Dimension-by-dimension summary:</x:t>
  </x:si>
  <x:si>
    <x:t xml:space="preserve">Recommendation:</x:t>
  </x:si>
  <x:si>
    <x:t xml:space="preserve">Priority focus for the sample profile is Governance Readiness (consent practice and PDPL/AI-ethics awareness) and Data Readiness (multi-season yield and pest tracking). Sandbox Readiness is already strong and should be used as the entry point for staged AI adoption, starting with small-plot trials validated in simulation before field-wide application.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</x:si>
</x:sst>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166" formatCode="General"/>
  </x:numFmts>
  <x:fonts count="2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B4332"/>
      <x:name val="Arial"/>
    </x:font>
    <x:font>
      <x:i/>
      <x:sz val="10"/>
      <x:color rgb="FF5A5A5A"/>
      <x:name val="Arial"/>
    </x:font>
    <x:font>
      <x:b/>
      <x:sz val="11"/>
      <x:color rgb="FFFFFFFF"/>
      <x:name val="Arial"/>
    </x:font>
    <x:font>
      <x:sz val="10"/>
      <x:color rgb="FF1A1A1A"/>
      <x:name val="Arial"/>
    </x:font>
    <x:font>
      <x:sz val="10"/>
      <x:color rgb="FF0000FF"/>
      <x:name val="Arial"/>
    </x:font>
    <x:font>
      <x:b/>
      <x:sz val="11"/>
      <x:color rgb="FF1B4332"/>
      <x:name val="Arial"/>
    </x:font>
    <x:font>
      <x:b/>
      <x:sz val="11"/>
      <x:name val="Cambria"/>
    </x:font>
    <x:font>
      <x:b/>
      <x:sz val="11"/>
      <x:color rgb="FFB08D57"/>
      <x:name val="Cambria"/>
    </x:font>
    <x:font>
      <x:b/>
      <x:sz val="12"/>
      <x:color rgb="FFB08D57"/>
      <x:name val="Cambria"/>
    </x:font>
    <x:font>
      <x:b/>
      <x:sz val="12"/>
      <x:color rgb="FF1B4332"/>
      <x:name val="Cambria"/>
    </x:font>
    <x:font>
      <x:b/>
      <x:sz val="11"/>
      <x:color rgb="FFFFFFFF"/>
      <x:name val="Calibri"/>
    </x:font>
    <x:font>
      <x:i/>
      <x:sz val="11"/>
      <x:color rgb="FF3F5E50"/>
      <x:name val="Calibri"/>
    </x:font>
    <x:font>
      <x:b/>
      <x:sz val="11"/>
      <x:color rgb="FF1B4332"/>
      <x:name val="Calibri"/>
    </x:font>
    <x:font>
      <x:sz val="11"/>
      <x:color rgb="FF1A1A1A"/>
      <x:name val="Calibri"/>
    </x:font>
    <x:font>
      <x:b/>
      <x:sz val="11"/>
      <x:color rgb="FF7A5A1A"/>
      <x:name val="Calibri"/>
    </x:font>
    <x:font>
      <x:sz val="11"/>
      <x:color rgb="FF1F5D87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B4332"/>
      </x:patternFill>
    </x:fill>
    <x:fill>
      <x:patternFill patternType="solid">
        <x:fgColor rgb="FFFFFFFF"/>
      </x:patternFill>
    </x:fill>
    <x:fill>
      <x:patternFill patternType="solid">
        <x:fgColor rgb="FFF8F6F0"/>
      </x:patternFill>
    </x:fill>
    <x:fill>
      <x:patternFill patternType="solid">
        <x:fgColor rgb="FFD8F3DC"/>
      </x:patternFill>
    </x:fill>
    <x:fill>
      <x:patternFill patternType="solid">
        <x:fgColor rgb="FF1B4332"/>
      </x:patternFill>
    </x:fill>
    <x:fill>
      <x:patternFill patternType="solid">
        <x:fgColor rgb="FFE9F5EC"/>
      </x:patternFill>
    </x:fill>
    <x:fill>
      <x:patternFill patternType="solid">
        <x:fgColor rgb="FFD6EEDB"/>
      </x:patternFill>
    </x:fill>
    <x:fill>
      <x:patternFill patternType="solid">
        <x:fgColor rgb="FFFFFFFF"/>
      </x:patternFill>
    </x:fill>
    <x:fill>
      <x:patternFill patternType="solid">
        <x:fgColor rgb="FFF7F5EF"/>
      </x:patternFill>
    </x:fill>
  </x:fills>
  <x:borders count="16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right style="thin">
        <x:color rgb="FFCCCCCC"/>
      </x:right>
      <x:top style="double"/>
      <x:bottom style="thin">
        <x:color rgb="FFCCCCCC"/>
      </x:bottom>
    </x:border>
    <x:border diagonalUp="0" diagonalDown="0">
      <x:left style="thin">
        <x:color rgb="FF9EBBA8"/>
      </x:left>
      <x:top style="thin">
        <x:color rgb="FF9EBBA8"/>
      </x:top>
      <x:bottom style="thin">
        <x:color rgb="FF9EBBA8"/>
      </x:bottom>
    </x:border>
    <x:border diagonalUp="0" diagonalDown="0">
      <x:top style="thin">
        <x:color rgb="FF9EBBA8"/>
      </x:top>
      <x:bottom style="thin">
        <x:color rgb="FF9EBBA8"/>
      </x:bottom>
    </x:border>
    <x:border diagonalUp="0" diagonalDown="0">
      <x:right style="thin">
        <x:color rgb="FF9EBBA8"/>
      </x:right>
      <x:top style="thin">
        <x:color rgb="FF9EBBA8"/>
      </x:top>
      <x:bottom style="thin">
        <x:color rgb="FF9EBBA8"/>
      </x:bottom>
    </x:border>
    <x:border diagonalUp="0" diagonalDown="0">
      <x:left style="thin">
        <x:color rgb="FFBFCBC3"/>
      </x:left>
      <x:right style="thin">
        <x:color rgb="FFBFCBC3"/>
      </x:right>
      <x:top style="thin">
        <x:color rgb="FFBFCBC3"/>
      </x:top>
      <x:bottom style="thin">
        <x:color rgb="FFBFCBC3"/>
      </x:bottom>
    </x:border>
    <x:border diagonalUp="0" diagonalDown="0">
      <x:left style="thin">
        <x:color rgb="FFBFCBC3"/>
      </x:left>
      <x:right style="thin">
        <x:color rgb="FFE3E8E4"/>
      </x:right>
      <x:top style="thin">
        <x:color rgb="FFBFCBC3"/>
      </x:top>
      <x:bottom style="thin">
        <x:color rgb="FFD7DED9"/>
      </x:bottom>
    </x:border>
    <x:border diagonalUp="0" diagonalDown="0">
      <x:left style="thin">
        <x:color rgb="FFE3E8E4"/>
      </x:left>
      <x:right style="thin">
        <x:color rgb="FFE3E8E4"/>
      </x:right>
      <x:top style="thin">
        <x:color rgb="FFBFCBC3"/>
      </x:top>
      <x:bottom style="thin">
        <x:color rgb="FFD7DED9"/>
      </x:bottom>
    </x:border>
    <x:border diagonalUp="0" diagonalDown="0">
      <x:left style="thin">
        <x:color rgb="FFE3E8E4"/>
      </x:left>
      <x:right style="thin">
        <x:color rgb="FFBFCBC3"/>
      </x:right>
      <x:top style="thin">
        <x:color rgb="FFBFCBC3"/>
      </x:top>
      <x:bottom style="thin">
        <x:color rgb="FFD7DED9"/>
      </x:bottom>
    </x:border>
    <x:border diagonalUp="0" diagonalDown="0">
      <x:left style="thin">
        <x:color rgb="FFBFCBC3"/>
      </x:left>
      <x:right style="thin">
        <x:color rgb="FFE3E8E4"/>
      </x:right>
      <x:top style="thin">
        <x:color rgb="FFD7DED9"/>
      </x:top>
      <x:bottom style="thin">
        <x:color rgb="FFD7DED9"/>
      </x:bottom>
    </x:border>
    <x:border diagonalUp="0" diagonalDown="0">
      <x:left style="thin">
        <x:color rgb="FFE3E8E4"/>
      </x:left>
      <x:right style="thin">
        <x:color rgb="FFE3E8E4"/>
      </x:right>
      <x:top style="thin">
        <x:color rgb="FFD7DED9"/>
      </x:top>
      <x:bottom style="thin">
        <x:color rgb="FFD7DED9"/>
      </x:bottom>
    </x:border>
    <x:border diagonalUp="0" diagonalDown="0">
      <x:left style="thin">
        <x:color rgb="FFE3E8E4"/>
      </x:left>
      <x:right style="thin">
        <x:color rgb="FFBFCBC3"/>
      </x:right>
      <x:top style="thin">
        <x:color rgb="FFD7DED9"/>
      </x:top>
      <x:bottom style="thin">
        <x:color rgb="FFD7DED9"/>
      </x:bottom>
    </x:border>
    <x:border diagonalUp="0" diagonalDown="0">
      <x:left style="thin">
        <x:color rgb="FFBFCBC3"/>
      </x:left>
      <x:right style="thin">
        <x:color rgb="FFE3E8E4"/>
      </x:right>
      <x:top style="thin">
        <x:color rgb="FFD7DED9"/>
      </x:top>
      <x:bottom style="thin">
        <x:color rgb="FFBFCBC3"/>
      </x:bottom>
    </x:border>
    <x:border diagonalUp="0" diagonalDown="0">
      <x:left style="thin">
        <x:color rgb="FFE3E8E4"/>
      </x:left>
      <x:right style="thin">
        <x:color rgb="FFE3E8E4"/>
      </x:right>
      <x:top style="thin">
        <x:color rgb="FFD7DED9"/>
      </x:top>
      <x:bottom style="thin">
        <x:color rgb="FFBFCBC3"/>
      </x:bottom>
    </x:border>
    <x:border diagonalUp="0" diagonalDown="0">
      <x:left style="thin">
        <x:color rgb="FFE3E8E4"/>
      </x:left>
      <x:right style="thin">
        <x:color rgb="FFBFCBC3"/>
      </x:right>
      <x:top style="thin">
        <x:color rgb="FFD7DED9"/>
      </x:top>
      <x:bottom style="thin">
        <x:color rgb="FFBFCBC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4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3" borderId="1" xfId="0" applyFont="1" applyBorder="1" applyAlignment="1">
      <x:alignment horizontal="general" vertical="center" wrapText="1"/>
    </x:xf>
    <x:xf numFmtId="164" fontId="8" fillId="3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general" vertical="center" wrapText="1"/>
    </x:xf>
    <x:xf numFmtId="164" fontId="8" fillId="4" borderId="1" xfId="0" applyFont="1" applyBorder="1" applyAlignment="1">
      <x:alignment horizontal="general" vertical="center" wrapText="1"/>
    </x:xf>
    <x:xf numFmtId="165" fontId="7" fillId="3" borderId="1" xfId="0" applyFont="1" applyBorder="1" applyAlignment="1">
      <x:alignment horizontal="general" vertical="center" wrapText="1"/>
    </x:xf>
    <x:xf numFmtId="165" fontId="7" fillId="4" borderId="1" xfId="0" applyFont="1" applyBorder="1" applyAlignment="1">
      <x:alignment horizontal="general" vertical="center" wrapText="1"/>
    </x:xf>
    <x:xf numFmtId="164" fontId="9" fillId="5" borderId="2" xfId="0" applyFont="1" applyBorder="1" applyAlignment="0">
      <x:alignment horizontal="general" vertical="bottom" wrapText="0"/>
    </x:xf>
    <x:xf numFmtId="166" fontId="10" fillId="5" borderId="2" xfId="0" applyFont="1" applyBorder="1" applyAlignment="0">
      <x:alignment horizontal="general" vertical="bottom" wrapText="0"/>
    </x:xf>
    <x:xf numFmtId="165" fontId="10" fillId="5" borderId="2" xfId="0" applyFont="1" applyBorder="1" applyAlignment="0">
      <x:alignment horizontal="general" vertical="bottom" wrapText="0"/>
    </x:xf>
    <x:xf numFmtId="164" fontId="11" fillId="5" borderId="2" xfId="0" applyFont="1" applyBorder="1" applyAlignment="0">
      <x:alignment horizontal="general" vertical="bottom" wrapText="0"/>
    </x:xf>
    <x:xf numFmtId="164" fontId="0" fillId="5" borderId="2" xfId="0" applyFont="0" applyBorder="1" applyAlignment="0">
      <x:alignment horizontal="general" vertical="bottom" wrapText="0"/>
    </x:xf>
    <x:xf numFmtId="164" fontId="7" fillId="3" borderId="1" xfId="0" applyFont="1" applyBorder="1" applyAlignment="1">
      <x:alignment horizontal="general" vertical="top" wrapText="1"/>
    </x:xf>
    <x:xf numFmtId="164" fontId="7" fillId="4" borderId="1" xfId="0" applyFont="1" applyBorder="1" applyAlignment="1">
      <x:alignment horizontal="general" vertical="top" wrapText="1"/>
    </x:xf>
    <x:xf numFmtId="164" fontId="10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7" fillId="0" borderId="0" xfId="0" applyFont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4" fillId="6" borderId="0" xfId="0" applyNumberFormat="1" applyFont="1" applyFill="1" applyBorder="1" applyAlignment="1">
      <x:alignment horizontal="general" vertical="bottom" wrapText="0"/>
    </x:xf>
    <x:xf numFmtId="164" fontId="14" fillId="6" borderId="0" xfId="0" applyNumberFormat="1" applyFont="1" applyFill="1" applyBorder="1" applyAlignment="1">
      <x:alignment horizontal="left" vertical="bottom" wrapText="0"/>
    </x:xf>
    <x:xf numFmtId="164" fontId="14" fillId="6" borderId="0" xfId="0" applyNumberFormat="1" applyFont="1" applyFill="1" applyBorder="1" applyAlignment="1">
      <x:alignment horizontal="left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5" fillId="7" borderId="0" xfId="0" applyNumberFormat="1" applyFont="1" applyFill="1" applyBorder="1" applyAlignment="1">
      <x:alignment horizontal="general" vertical="bottom" wrapText="0"/>
    </x:xf>
    <x:xf numFmtId="164" fontId="15" fillId="7" borderId="0" xfId="0" applyNumberFormat="1" applyFont="1" applyFill="1" applyBorder="1" applyAlignment="1">
      <x:alignment horizontal="general" vertical="bottom" wrapText="1"/>
    </x:xf>
    <x:xf numFmtId="164" fontId="15" fillId="7" borderId="0" xfId="0" applyNumberFormat="1" applyFont="1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5" fontId="0" fillId="8" borderId="0" xfId="0" applyNumberFormat="1" applyFont="1" applyFill="1" applyBorder="1" applyAlignment="1">
      <x:alignment horizontal="general" vertical="bottom" wrapText="0"/>
    </x:xf>
    <x:xf numFmtId="164" fontId="16" fillId="8" borderId="0" xfId="0" applyNumberFormat="1" applyFont="1" applyFill="1" applyBorder="1" applyAlignment="1">
      <x:alignment horizontal="general" vertical="bottom" wrapText="0"/>
    </x:xf>
    <x:xf numFmtId="165" fontId="16" fillId="8" borderId="0" xfId="0" applyNumberFormat="1" applyFont="1" applyFill="1" applyBorder="1" applyAlignment="1">
      <x:alignment horizontal="general" vertical="bottom" wrapText="0"/>
    </x:xf>
    <x:xf numFmtId="164" fontId="16" fillId="8" borderId="3" xfId="0" applyNumberFormat="1" applyFont="1" applyFill="1" applyBorder="1" applyAlignment="1">
      <x:alignment horizontal="general" vertical="bottom" wrapText="0"/>
    </x:xf>
    <x:xf numFmtId="164" fontId="16" fillId="8" borderId="4" xfId="0" applyNumberFormat="1" applyFont="1" applyFill="1" applyBorder="1" applyAlignment="1">
      <x:alignment horizontal="general" vertical="bottom" wrapText="0"/>
    </x:xf>
    <x:xf numFmtId="165" fontId="16" fillId="8" borderId="4" xfId="0" applyNumberFormat="1" applyFont="1" applyFill="1" applyBorder="1" applyAlignment="1">
      <x:alignment horizontal="general" vertical="bottom" wrapText="0"/>
    </x:xf>
    <x:xf numFmtId="165" fontId="16" fillId="8" borderId="5" xfId="0" applyNumberFormat="1" applyFont="1" applyFill="1" applyBorder="1" applyAlignment="1">
      <x:alignment horizontal="general" vertical="bottom" wrapText="0"/>
    </x:xf>
    <x:xf numFmtId="164" fontId="16" fillId="8" borderId="3" xfId="0" applyNumberFormat="1" applyFont="1" applyFill="1" applyBorder="1" applyAlignment="1">
      <x:alignment horizontal="general" vertical="center" wrapText="0"/>
    </x:xf>
    <x:xf numFmtId="164" fontId="16" fillId="8" borderId="4" xfId="0" applyNumberFormat="1" applyFont="1" applyFill="1" applyBorder="1" applyAlignment="1">
      <x:alignment horizontal="general" vertical="center" wrapText="0"/>
    </x:xf>
    <x:xf numFmtId="165" fontId="16" fillId="8" borderId="4" xfId="0" applyNumberFormat="1" applyFont="1" applyFill="1" applyBorder="1" applyAlignment="1">
      <x:alignment horizontal="general" vertical="center" wrapText="0"/>
    </x:xf>
    <x:xf numFmtId="165" fontId="16" fillId="8" borderId="5" xfId="0" applyNumberFormat="1" applyFont="1" applyFill="1" applyBorder="1" applyAlignment="1">
      <x:alignment horizontal="general" vertical="center" wrapText="0"/>
    </x:xf>
    <x:xf numFmtId="164" fontId="14" fillId="6" borderId="6" xfId="0" applyNumberFormat="1" applyFont="1" applyFill="1" applyBorder="1" applyAlignment="1">
      <x:alignment horizontal="general" vertical="bottom" wrapText="0"/>
    </x:xf>
    <x:xf numFmtId="164" fontId="14" fillId="6" borderId="6" xfId="0" applyNumberFormat="1" applyFont="1" applyFill="1" applyBorder="1" applyAlignment="1">
      <x:alignment horizontal="general" vertical="bottom" wrapText="1"/>
    </x:xf>
    <x:xf numFmtId="164" fontId="14" fillId="6" borderId="6" xfId="0" applyNumberFormat="1" applyFont="1" applyFill="1" applyBorder="1" applyAlignment="1">
      <x:alignment horizontal="center" vertical="bottom" wrapText="1"/>
    </x:xf>
    <x:xf numFmtId="164" fontId="14" fillId="6" borderId="6" xfId="0" applyNumberFormat="1" applyFont="1" applyFill="1" applyBorder="1" applyAlignment="1">
      <x:alignment horizontal="center" vertical="center" wrapText="1"/>
    </x:xf>
    <x:xf numFmtId="164" fontId="17" fillId="0" borderId="0" xfId="0" applyNumberFormat="1" applyFont="1" applyFill="1" applyBorder="1" applyAlignment="1">
      <x:alignment horizontal="general" vertical="bottom" wrapText="0"/>
    </x:xf>
    <x:xf numFmtId="165" fontId="17" fillId="0" borderId="0" xfId="0" applyNumberFormat="1" applyFont="1" applyFill="1" applyBorder="1" applyAlignment="1">
      <x:alignment horizontal="general" vertical="bottom" wrapText="0"/>
    </x:xf>
    <x:xf numFmtId="164" fontId="17" fillId="0" borderId="7" xfId="0" applyNumberFormat="1" applyFont="1" applyFill="1" applyBorder="1" applyAlignment="1">
      <x:alignment horizontal="general" vertical="bottom" wrapText="0"/>
    </x:xf>
    <x:xf numFmtId="164" fontId="17" fillId="0" borderId="8" xfId="0" applyNumberFormat="1" applyFont="1" applyFill="1" applyBorder="1" applyAlignment="1">
      <x:alignment horizontal="general" vertical="bottom" wrapText="0"/>
    </x:xf>
    <x:xf numFmtId="165" fontId="17" fillId="0" borderId="8" xfId="0" applyNumberFormat="1" applyFont="1" applyFill="1" applyBorder="1" applyAlignment="1">
      <x:alignment horizontal="general" vertical="bottom" wrapText="0"/>
    </x:xf>
    <x:xf numFmtId="164" fontId="17" fillId="0" borderId="9" xfId="0" applyNumberFormat="1" applyFont="1" applyFill="1" applyBorder="1" applyAlignment="1">
      <x:alignment horizontal="general" vertical="bottom" wrapText="0"/>
    </x:xf>
    <x:xf numFmtId="164" fontId="17" fillId="0" borderId="10" xfId="0" applyNumberFormat="1" applyFont="1" applyFill="1" applyBorder="1" applyAlignment="1">
      <x:alignment horizontal="general" vertical="bottom" wrapText="0"/>
    </x:xf>
    <x:xf numFmtId="164" fontId="17" fillId="0" borderId="11" xfId="0" applyNumberFormat="1" applyFont="1" applyFill="1" applyBorder="1" applyAlignment="1">
      <x:alignment horizontal="general" vertical="bottom" wrapText="0"/>
    </x:xf>
    <x:xf numFmtId="165" fontId="17" fillId="0" borderId="11" xfId="0" applyNumberFormat="1" applyFont="1" applyFill="1" applyBorder="1" applyAlignment="1">
      <x:alignment horizontal="general" vertical="bottom" wrapText="0"/>
    </x:xf>
    <x:xf numFmtId="164" fontId="17" fillId="0" borderId="12" xfId="0" applyNumberFormat="1" applyFont="1" applyFill="1" applyBorder="1" applyAlignment="1">
      <x:alignment horizontal="general" vertical="bottom" wrapText="0"/>
    </x:xf>
    <x:xf numFmtId="164" fontId="17" fillId="0" borderId="13" xfId="0" applyNumberFormat="1" applyFont="1" applyFill="1" applyBorder="1" applyAlignment="1">
      <x:alignment horizontal="general" vertical="bottom" wrapText="0"/>
    </x:xf>
    <x:xf numFmtId="164" fontId="17" fillId="0" borderId="14" xfId="0" applyNumberFormat="1" applyFont="1" applyFill="1" applyBorder="1" applyAlignment="1">
      <x:alignment horizontal="general" vertical="bottom" wrapText="0"/>
    </x:xf>
    <x:xf numFmtId="165" fontId="17" fillId="0" borderId="14" xfId="0" applyNumberFormat="1" applyFont="1" applyFill="1" applyBorder="1" applyAlignment="1">
      <x:alignment horizontal="general" vertical="bottom" wrapText="0"/>
    </x:xf>
    <x:xf numFmtId="164" fontId="17" fillId="0" borderId="15" xfId="0" applyNumberFormat="1" applyFont="1" applyFill="1" applyBorder="1" applyAlignment="1">
      <x:alignment horizontal="general" vertical="bottom" wrapText="0"/>
    </x:xf>
    <x:xf numFmtId="164" fontId="17" fillId="0" borderId="7" xfId="0" applyNumberFormat="1" applyFont="1" applyFill="1" applyBorder="1" applyAlignment="1">
      <x:alignment horizontal="general" vertical="bottom" wrapText="1"/>
    </x:xf>
    <x:xf numFmtId="164" fontId="17" fillId="0" borderId="8" xfId="0" applyNumberFormat="1" applyFont="1" applyFill="1" applyBorder="1" applyAlignment="1">
      <x:alignment horizontal="general" vertical="bottom" wrapText="1"/>
    </x:xf>
    <x:xf numFmtId="165" fontId="17" fillId="0" borderId="8" xfId="0" applyNumberFormat="1" applyFont="1" applyFill="1" applyBorder="1" applyAlignment="1">
      <x:alignment horizontal="general" vertical="bottom" wrapText="1"/>
    </x:xf>
    <x:xf numFmtId="164" fontId="17" fillId="0" borderId="9" xfId="0" applyNumberFormat="1" applyFont="1" applyFill="1" applyBorder="1" applyAlignment="1">
      <x:alignment horizontal="general" vertical="bottom" wrapText="1"/>
    </x:xf>
    <x:xf numFmtId="164" fontId="17" fillId="0" borderId="10" xfId="0" applyNumberFormat="1" applyFont="1" applyFill="1" applyBorder="1" applyAlignment="1">
      <x:alignment horizontal="general" vertical="bottom" wrapText="1"/>
    </x:xf>
    <x:xf numFmtId="164" fontId="17" fillId="0" borderId="11" xfId="0" applyNumberFormat="1" applyFont="1" applyFill="1" applyBorder="1" applyAlignment="1">
      <x:alignment horizontal="general" vertical="bottom" wrapText="1"/>
    </x:xf>
    <x:xf numFmtId="165" fontId="17" fillId="0" borderId="11" xfId="0" applyNumberFormat="1" applyFont="1" applyFill="1" applyBorder="1" applyAlignment="1">
      <x:alignment horizontal="general" vertical="bottom" wrapText="1"/>
    </x:xf>
    <x:xf numFmtId="164" fontId="17" fillId="0" borderId="12" xfId="0" applyNumberFormat="1" applyFont="1" applyFill="1" applyBorder="1" applyAlignment="1">
      <x:alignment horizontal="general" vertical="bottom" wrapText="1"/>
    </x:xf>
    <x:xf numFmtId="164" fontId="17" fillId="0" borderId="13" xfId="0" applyNumberFormat="1" applyFont="1" applyFill="1" applyBorder="1" applyAlignment="1">
      <x:alignment horizontal="general" vertical="bottom" wrapText="1"/>
    </x:xf>
    <x:xf numFmtId="164" fontId="17" fillId="0" borderId="14" xfId="0" applyNumberFormat="1" applyFont="1" applyFill="1" applyBorder="1" applyAlignment="1">
      <x:alignment horizontal="general" vertical="bottom" wrapText="1"/>
    </x:xf>
    <x:xf numFmtId="165" fontId="17" fillId="0" borderId="14" xfId="0" applyNumberFormat="1" applyFont="1" applyFill="1" applyBorder="1" applyAlignment="1">
      <x:alignment horizontal="general" vertical="bottom" wrapText="1"/>
    </x:xf>
    <x:xf numFmtId="164" fontId="17" fillId="0" borderId="15" xfId="0" applyNumberFormat="1" applyFont="1" applyFill="1" applyBorder="1" applyAlignment="1">
      <x:alignment horizontal="general" vertical="bottom" wrapText="1"/>
    </x:xf>
    <x:xf numFmtId="164" fontId="17" fillId="0" borderId="7" xfId="0" applyNumberFormat="1" applyFont="1" applyFill="1" applyBorder="1" applyAlignment="1">
      <x:alignment horizontal="general" vertical="top" wrapText="1"/>
    </x:xf>
    <x:xf numFmtId="164" fontId="17" fillId="0" borderId="8" xfId="0" applyNumberFormat="1" applyFont="1" applyFill="1" applyBorder="1" applyAlignment="1">
      <x:alignment horizontal="general" vertical="top" wrapText="1"/>
    </x:xf>
    <x:xf numFmtId="165" fontId="17" fillId="0" borderId="8" xfId="0" applyNumberFormat="1" applyFont="1" applyFill="1" applyBorder="1" applyAlignment="1">
      <x:alignment horizontal="general" vertical="top" wrapText="1"/>
    </x:xf>
    <x:xf numFmtId="164" fontId="17" fillId="0" borderId="9" xfId="0" applyNumberFormat="1" applyFont="1" applyFill="1" applyBorder="1" applyAlignment="1">
      <x:alignment horizontal="general" vertical="top" wrapText="1"/>
    </x:xf>
    <x:xf numFmtId="164" fontId="17" fillId="0" borderId="10" xfId="0" applyNumberFormat="1" applyFont="1" applyFill="1" applyBorder="1" applyAlignment="1">
      <x:alignment horizontal="general" vertical="top" wrapText="1"/>
    </x:xf>
    <x:xf numFmtId="164" fontId="17" fillId="0" borderId="11" xfId="0" applyNumberFormat="1" applyFont="1" applyFill="1" applyBorder="1" applyAlignment="1">
      <x:alignment horizontal="general" vertical="top" wrapText="1"/>
    </x:xf>
    <x:xf numFmtId="165" fontId="17" fillId="0" borderId="11" xfId="0" applyNumberFormat="1" applyFont="1" applyFill="1" applyBorder="1" applyAlignment="1">
      <x:alignment horizontal="general" vertical="top" wrapText="1"/>
    </x:xf>
    <x:xf numFmtId="164" fontId="17" fillId="0" borderId="12" xfId="0" applyNumberFormat="1" applyFont="1" applyFill="1" applyBorder="1" applyAlignment="1">
      <x:alignment horizontal="general" vertical="top" wrapText="1"/>
    </x:xf>
    <x:xf numFmtId="164" fontId="17" fillId="0" borderId="13" xfId="0" applyNumberFormat="1" applyFont="1" applyFill="1" applyBorder="1" applyAlignment="1">
      <x:alignment horizontal="general" vertical="top" wrapText="1"/>
    </x:xf>
    <x:xf numFmtId="164" fontId="17" fillId="0" borderId="14" xfId="0" applyNumberFormat="1" applyFont="1" applyFill="1" applyBorder="1" applyAlignment="1">
      <x:alignment horizontal="general" vertical="top" wrapText="1"/>
    </x:xf>
    <x:xf numFmtId="165" fontId="17" fillId="0" borderId="14" xfId="0" applyNumberFormat="1" applyFont="1" applyFill="1" applyBorder="1" applyAlignment="1">
      <x:alignment horizontal="general" vertical="top" wrapText="1"/>
    </x:xf>
    <x:xf numFmtId="164" fontId="17" fillId="0" borderId="15" xfId="0" applyNumberFormat="1" applyFont="1" applyFill="1" applyBorder="1" applyAlignment="1">
      <x:alignment horizontal="general" vertical="top" wrapText="1"/>
    </x:xf>
    <x:xf numFmtId="164" fontId="17" fillId="9" borderId="7" xfId="0" applyNumberFormat="1" applyFont="1" applyFill="1" applyBorder="1" applyAlignment="1">
      <x:alignment horizontal="general" vertical="top" wrapText="1"/>
    </x:xf>
    <x:xf numFmtId="164" fontId="17" fillId="9" borderId="8" xfId="0" applyNumberFormat="1" applyFont="1" applyFill="1" applyBorder="1" applyAlignment="1">
      <x:alignment horizontal="general" vertical="top" wrapText="1"/>
    </x:xf>
    <x:xf numFmtId="165" fontId="17" fillId="9" borderId="8" xfId="0" applyNumberFormat="1" applyFont="1" applyFill="1" applyBorder="1" applyAlignment="1">
      <x:alignment horizontal="general" vertical="top" wrapText="1"/>
    </x:xf>
    <x:xf numFmtId="164" fontId="17" fillId="9" borderId="9" xfId="0" applyNumberFormat="1" applyFont="1" applyFill="1" applyBorder="1" applyAlignment="1">
      <x:alignment horizontal="general" vertical="top" wrapText="1"/>
    </x:xf>
    <x:xf numFmtId="164" fontId="17" fillId="10" borderId="10" xfId="0" applyNumberFormat="1" applyFont="1" applyFill="1" applyBorder="1" applyAlignment="1">
      <x:alignment horizontal="general" vertical="top" wrapText="1"/>
    </x:xf>
    <x:xf numFmtId="164" fontId="17" fillId="10" borderId="11" xfId="0" applyNumberFormat="1" applyFont="1" applyFill="1" applyBorder="1" applyAlignment="1">
      <x:alignment horizontal="general" vertical="top" wrapText="1"/>
    </x:xf>
    <x:xf numFmtId="165" fontId="17" fillId="10" borderId="11" xfId="0" applyNumberFormat="1" applyFont="1" applyFill="1" applyBorder="1" applyAlignment="1">
      <x:alignment horizontal="general" vertical="top" wrapText="1"/>
    </x:xf>
    <x:xf numFmtId="164" fontId="17" fillId="10" borderId="12" xfId="0" applyNumberFormat="1" applyFont="1" applyFill="1" applyBorder="1" applyAlignment="1">
      <x:alignment horizontal="general" vertical="top" wrapText="1"/>
    </x:xf>
    <x:xf numFmtId="164" fontId="17" fillId="9" borderId="10" xfId="0" applyNumberFormat="1" applyFont="1" applyFill="1" applyBorder="1" applyAlignment="1">
      <x:alignment horizontal="general" vertical="top" wrapText="1"/>
    </x:xf>
    <x:xf numFmtId="164" fontId="17" fillId="9" borderId="11" xfId="0" applyNumberFormat="1" applyFont="1" applyFill="1" applyBorder="1" applyAlignment="1">
      <x:alignment horizontal="general" vertical="top" wrapText="1"/>
    </x:xf>
    <x:xf numFmtId="165" fontId="17" fillId="9" borderId="11" xfId="0" applyNumberFormat="1" applyFont="1" applyFill="1" applyBorder="1" applyAlignment="1">
      <x:alignment horizontal="general" vertical="top" wrapText="1"/>
    </x:xf>
    <x:xf numFmtId="164" fontId="17" fillId="9" borderId="12" xfId="0" applyNumberFormat="1" applyFont="1" applyFill="1" applyBorder="1" applyAlignment="1">
      <x:alignment horizontal="general" vertical="top" wrapText="1"/>
    </x:xf>
    <x:xf numFmtId="164" fontId="17" fillId="10" borderId="13" xfId="0" applyNumberFormat="1" applyFont="1" applyFill="1" applyBorder="1" applyAlignment="1">
      <x:alignment horizontal="general" vertical="top" wrapText="1"/>
    </x:xf>
    <x:xf numFmtId="164" fontId="17" fillId="10" borderId="14" xfId="0" applyNumberFormat="1" applyFont="1" applyFill="1" applyBorder="1" applyAlignment="1">
      <x:alignment horizontal="general" vertical="top" wrapText="1"/>
    </x:xf>
    <x:xf numFmtId="165" fontId="17" fillId="10" borderId="14" xfId="0" applyNumberFormat="1" applyFont="1" applyFill="1" applyBorder="1" applyAlignment="1">
      <x:alignment horizontal="general" vertical="top" wrapText="1"/>
    </x:xf>
    <x:xf numFmtId="164" fontId="17" fillId="10" borderId="15" xfId="0" applyNumberFormat="1" applyFont="1" applyFill="1" applyBorder="1" applyAlignment="1">
      <x:alignment horizontal="general" vertical="top" wrapText="1"/>
    </x:xf>
    <x:xf numFmtId="164" fontId="16" fillId="9" borderId="7" xfId="0" applyNumberFormat="1" applyFont="1" applyFill="1" applyBorder="1" applyAlignment="1">
      <x:alignment horizontal="general" vertical="top" wrapText="1"/>
    </x:xf>
    <x:xf numFmtId="164" fontId="16" fillId="10" borderId="10" xfId="0" applyNumberFormat="1" applyFont="1" applyFill="1" applyBorder="1" applyAlignment="1">
      <x:alignment horizontal="general" vertical="top" wrapText="1"/>
    </x:xf>
    <x:xf numFmtId="164" fontId="16" fillId="9" borderId="10" xfId="0" applyNumberFormat="1" applyFont="1" applyFill="1" applyBorder="1" applyAlignment="1">
      <x:alignment horizontal="general" vertical="top" wrapText="1"/>
    </x:xf>
    <x:xf numFmtId="164" fontId="16" fillId="10" borderId="13" xfId="0" applyNumberFormat="1" applyFont="1" applyFill="1" applyBorder="1" applyAlignment="1">
      <x:alignment horizontal="general" vertical="top" wrapText="1"/>
    </x:xf>
    <x:xf numFmtId="164" fontId="16" fillId="9" borderId="7" xfId="0" applyNumberFormat="1" applyFont="1" applyFill="1" applyBorder="1" applyAlignment="1">
      <x:alignment horizontal="center" vertical="top" wrapText="1"/>
    </x:xf>
    <x:xf numFmtId="164" fontId="16" fillId="10" borderId="10" xfId="0" applyNumberFormat="1" applyFont="1" applyFill="1" applyBorder="1" applyAlignment="1">
      <x:alignment horizontal="center" vertical="top" wrapText="1"/>
    </x:xf>
    <x:xf numFmtId="164" fontId="16" fillId="9" borderId="10" xfId="0" applyNumberFormat="1" applyFont="1" applyFill="1" applyBorder="1" applyAlignment="1">
      <x:alignment horizontal="center" vertical="top" wrapText="1"/>
    </x:xf>
    <x:xf numFmtId="164" fontId="16" fillId="10" borderId="13" xfId="0" applyNumberFormat="1" applyFont="1" applyFill="1" applyBorder="1" applyAlignment="1">
      <x:alignment horizontal="center" vertical="top" wrapText="1"/>
    </x:xf>
    <x:xf numFmtId="164" fontId="17" fillId="9" borderId="8" xfId="0" applyNumberFormat="1" applyFont="1" applyFill="1" applyBorder="1" applyAlignment="1">
      <x:alignment horizontal="center" vertical="top" wrapText="1"/>
    </x:xf>
    <x:xf numFmtId="165" fontId="17" fillId="9" borderId="8" xfId="0" applyNumberFormat="1" applyFont="1" applyFill="1" applyBorder="1" applyAlignment="1">
      <x:alignment horizontal="center" vertical="top" wrapText="1"/>
    </x:xf>
    <x:xf numFmtId="164" fontId="17" fillId="10" borderId="11" xfId="0" applyNumberFormat="1" applyFont="1" applyFill="1" applyBorder="1" applyAlignment="1">
      <x:alignment horizontal="center" vertical="top" wrapText="1"/>
    </x:xf>
    <x:xf numFmtId="165" fontId="17" fillId="10" borderId="11" xfId="0" applyNumberFormat="1" applyFont="1" applyFill="1" applyBorder="1" applyAlignment="1">
      <x:alignment horizontal="center" vertical="top" wrapText="1"/>
    </x:xf>
    <x:xf numFmtId="164" fontId="17" fillId="9" borderId="11" xfId="0" applyNumberFormat="1" applyFont="1" applyFill="1" applyBorder="1" applyAlignment="1">
      <x:alignment horizontal="center" vertical="top" wrapText="1"/>
    </x:xf>
    <x:xf numFmtId="165" fontId="17" fillId="9" borderId="11" xfId="0" applyNumberFormat="1" applyFont="1" applyFill="1" applyBorder="1" applyAlignment="1">
      <x:alignment horizontal="center" vertical="top" wrapText="1"/>
    </x:xf>
    <x:xf numFmtId="164" fontId="17" fillId="10" borderId="14" xfId="0" applyNumberFormat="1" applyFont="1" applyFill="1" applyBorder="1" applyAlignment="1">
      <x:alignment horizontal="center" vertical="top" wrapText="1"/>
    </x:xf>
    <x:xf numFmtId="165" fontId="17" fillId="10" borderId="14" xfId="0" applyNumberFormat="1" applyFont="1" applyFill="1" applyBorder="1" applyAlignment="1">
      <x:alignment horizontal="center" vertical="top" wrapText="1"/>
    </x:xf>
    <x:xf numFmtId="164" fontId="18" fillId="9" borderId="8" xfId="0" applyNumberFormat="1" applyFont="1" applyFill="1" applyBorder="1" applyAlignment="1">
      <x:alignment horizontal="center" vertical="top" wrapText="1"/>
    </x:xf>
    <x:xf numFmtId="164" fontId="18" fillId="10" borderId="11" xfId="0" applyNumberFormat="1" applyFont="1" applyFill="1" applyBorder="1" applyAlignment="1">
      <x:alignment horizontal="center" vertical="top" wrapText="1"/>
    </x:xf>
    <x:xf numFmtId="164" fontId="18" fillId="9" borderId="11" xfId="0" applyNumberFormat="1" applyFont="1" applyFill="1" applyBorder="1" applyAlignment="1">
      <x:alignment horizontal="center" vertical="top" wrapText="1"/>
    </x:xf>
    <x:xf numFmtId="164" fontId="18" fillId="10" borderId="14" xfId="0" applyNumberFormat="1" applyFont="1" applyFill="1" applyBorder="1" applyAlignment="1">
      <x:alignment horizontal="center" vertical="top" wrapText="1"/>
    </x:xf>
    <x:xf numFmtId="164" fontId="19" fillId="9" borderId="9" xfId="0" applyNumberFormat="1" applyFont="1" applyFill="1" applyBorder="1" applyAlignment="1">
      <x:alignment horizontal="general" vertical="top" wrapText="1"/>
    </x:xf>
    <x:xf numFmtId="164" fontId="19" fillId="10" borderId="12" xfId="0" applyNumberFormat="1" applyFont="1" applyFill="1" applyBorder="1" applyAlignment="1">
      <x:alignment horizontal="general" vertical="top" wrapText="1"/>
    </x:xf>
    <x:xf numFmtId="164" fontId="19" fillId="9" borderId="12" xfId="0" applyNumberFormat="1" applyFont="1" applyFill="1" applyBorder="1" applyAlignment="1">
      <x:alignment horizontal="general" vertical="top" wrapText="1"/>
    </x:xf>
    <x:xf numFmtId="164" fontId="19" fillId="10" borderId="15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7A5A1A"/>
      </x:font>
      <x:fill>
        <x:patternFill patternType="solid">
          <x:bgColor rgb="FFFFF0C2"/>
        </x:patternFill>
      </x:fill>
    </x:dxf>
    <x:dxf>
      <x:font>
        <x:b/>
        <x:color rgb="FF174A7E"/>
      </x:font>
      <x:fill>
        <x:patternFill patternType="solid">
          <x:bgColor rgb="FFE8F2FF"/>
        </x:patternFill>
      </x:fill>
    </x:dxf>
    <x:dxf>
      <x:font>
        <x:b/>
        <x:color rgb="FF1B4332"/>
      </x:font>
      <x:fill>
        <x:patternFill patternType="solid">
          <x:bgColor rgb="FFD9EAD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8F6F0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8F3D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A5A5A"/>
      <x:rgbColor rgb="FFB08D57"/>
      <x:rgbColor rgb="FF003366"/>
      <x:rgbColor rgb="FF339966"/>
      <x:rgbColor rgb="FF003300"/>
      <x:rgbColor rgb="FF1A1A1A"/>
      <x:rgbColor rgb="FF993300"/>
      <x:rgbColor rgb="FF993366"/>
      <x:rgbColor rgb="FF333399"/>
      <x:rgbColor rgb="FF1B433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4f77cdaee4891" /><Relationship Type="http://schemas.openxmlformats.org/officeDocument/2006/relationships/theme" Target="/xl/theme/theme1.xml" Id="R32ebdad1cf424ffc" /><Relationship Type="http://schemas.openxmlformats.org/officeDocument/2006/relationships/sharedStrings" Target="/xl/sharedStrings.xml" Id="R332764c6bee4424f" /><Relationship Type="http://schemas.openxmlformats.org/officeDocument/2006/relationships/worksheet" Target="/xl/worksheets/sheet1.xml" Id="R85ed923ea307402e" /><Relationship Type="http://schemas.openxmlformats.org/officeDocument/2006/relationships/worksheet" Target="/xl/worksheets/sheet2.xml" Id="R1c6bcdc087be480e" /><Relationship Type="http://schemas.openxmlformats.org/officeDocument/2006/relationships/worksheet" Target="/xl/worksheets/sheet3.xml" Id="Ra91c0287e21d4b2d" /><Relationship Type="http://schemas.openxmlformats.org/officeDocument/2006/relationships/worksheet" Target="/xl/worksheets/sheet4.xml" Id="R66b4bb58b9304978" /><Relationship Type="http://schemas.openxmlformats.org/officeDocument/2006/relationships/worksheet" Target="/xl/worksheets/sheet5.xml" Id="Rd5555b7c881c4366" /><Relationship Type="http://schemas.openxmlformats.org/officeDocument/2006/relationships/worksheet" Target="/xl/worksheets/sheet6.xml" Id="Rb12268797f1b4a96" /></Relationships>
</file>

<file path=xl/tables/table1.xml><?xml version="1.0" encoding="utf-8"?>
<x:table xmlns:x="http://schemas.openxmlformats.org/spreadsheetml/2006/main" id="1" name="PolicyGapsTable" displayName="PolicyGapsTable" ref="A6:K14" headerRowCount="1" totalsRowCount="0" totalsRowShown="0">
  <x:autoFilter ref="A6:K14"/>
  <x:tableColumns count="11">
    <x:tableColumn id="1" name="Gap ID"/>
    <x:tableColumn id="2" name="Proposed policy / implementation gap"/>
    <x:tableColumn id="3" name="Linked readiness dimension"/>
    <x:tableColumn id="4" name="Current readiness"/>
    <x:tableColumn id="5" name="Evidence from TerraTwin"/>
    <x:tableColumn id="6" name="Risk if unresolved"/>
    <x:tableColumn id="7" name="Recommended policy / action"/>
    <x:tableColumn id="8" name="Lead stakeholders"/>
    <x:tableColumn id="9" name="Target horizon"/>
    <x:tableColumn id="10" name="Readiness-linked urgency"/>
    <x:tableColumn id="11" name="Primary official reference(s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64687fa740b4b1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46" hidden="0" customWidth="1"/>
    <x:col min="3" max="3" width="34" hidden="0" customWidth="1"/>
    <x:col min="4" max="4" width="8" hidden="0" customWidth="1"/>
    <x:col min="5" max="5" width="10" hidden="0" customWidth="1"/>
    <x:col min="6" max="6" width="24" hidden="0" customWidth="1"/>
  </x:cols>
  <x:sheetData>
    <x:row r="1" ht="17.350000381469727" hidden="0">
      <x:c r="A1" s="1" t="s">
        <x:v>0</x:v>
      </x:c>
    </x:row>
    <x:row r="2" ht="15" hidden="0">
      <x:c r="A2" s="2" t="s">
        <x:v>1</x:v>
      </x:c>
    </x:row>
    <x:row r="4" ht="26.850000381469727" hidden="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ht="15" hidden="0">
      <x:c r="A5" s="4" t="s">
        <x:v>8</x:v>
      </x:c>
      <x:c r="B5" s="4" t="s">
        <x:v>9</x:v>
      </x:c>
      <x:c r="C5" s="5" t="s">
        <x:v>10</x:v>
      </x:c>
      <x:c r="D5" s="5" t="n">
        <x:v>4</x:v>
      </x:c>
      <x:c r="E5" s="5" t="n">
        <x:v>6</x:v>
      </x:c>
      <x:c r="F5" s="4"/>
    </x:row>
    <x:row r="6" ht="15" hidden="0">
      <x:c r="A6" s="6" t="s">
        <x:v>8</x:v>
      </x:c>
      <x:c r="B6" s="6" t="s">
        <x:v>11</x:v>
      </x:c>
      <x:c r="C6" s="7" t="s">
        <x:v>12</x:v>
      </x:c>
      <x:c r="D6" s="7" t="n">
        <x:v>3</x:v>
      </x:c>
      <x:c r="E6" s="7" t="n">
        <x:v>6</x:v>
      </x:c>
      <x:c r="F6" s="6"/>
    </x:row>
    <x:row r="7" ht="15" hidden="0">
      <x:c r="A7" s="4" t="s">
        <x:v>8</x:v>
      </x:c>
      <x:c r="B7" s="4" t="s">
        <x:v>13</x:v>
      </x:c>
      <x:c r="C7" s="5" t="s">
        <x:v>14</x:v>
      </x:c>
      <x:c r="D7" s="5" t="n">
        <x:v>2</x:v>
      </x:c>
      <x:c r="E7" s="5" t="n">
        <x:v>6</x:v>
      </x:c>
      <x:c r="F7" s="4"/>
    </x:row>
    <x:row r="8" ht="15" hidden="0">
      <x:c r="A8" s="6" t="s">
        <x:v>8</x:v>
      </x:c>
      <x:c r="B8" s="6" t="s">
        <x:v>15</x:v>
      </x:c>
      <x:c r="C8" s="7" t="s">
        <x:v>16</x:v>
      </x:c>
      <x:c r="D8" s="7" t="n">
        <x:v>5</x:v>
      </x:c>
      <x:c r="E8" s="7" t="n">
        <x:v>6</x:v>
      </x:c>
      <x:c r="F8" s="6"/>
    </x:row>
    <x:row r="9" ht="15" hidden="0">
      <x:c r="A9" s="4" t="s">
        <x:v>8</x:v>
      </x:c>
      <x:c r="B9" s="4" t="s">
        <x:v>17</x:v>
      </x:c>
      <x:c r="C9" s="5" t="s">
        <x:v>18</x:v>
      </x:c>
      <x:c r="D9" s="5" t="n">
        <x:v>2</x:v>
      </x:c>
      <x:c r="E9" s="5" t="n">
        <x:v>6</x:v>
      </x:c>
      <x:c r="F9" s="4"/>
    </x:row>
    <x:row r="10" ht="15" hidden="0">
      <x:c r="A10" s="6" t="s">
        <x:v>19</x:v>
      </x:c>
      <x:c r="B10" s="6" t="s">
        <x:v>20</x:v>
      </x:c>
      <x:c r="C10" s="7" t="s">
        <x:v>21</x:v>
      </x:c>
      <x:c r="D10" s="7" t="n">
        <x:v>5</x:v>
      </x:c>
      <x:c r="E10" s="7" t="n">
        <x:v>5</x:v>
      </x:c>
      <x:c r="F10" s="6"/>
    </x:row>
    <x:row r="11" ht="15" hidden="0">
      <x:c r="A11" s="4" t="s">
        <x:v>19</x:v>
      </x:c>
      <x:c r="B11" s="4" t="s">
        <x:v>22</x:v>
      </x:c>
      <x:c r="C11" s="5" t="s">
        <x:v>23</x:v>
      </x:c>
      <x:c r="D11" s="5" t="n">
        <x:v>0</x:v>
      </x:c>
      <x:c r="E11" s="5" t="n">
        <x:v>5</x:v>
      </x:c>
      <x:c r="F11" s="4"/>
    </x:row>
    <x:row r="12" ht="15" hidden="0">
      <x:c r="A12" s="6" t="s">
        <x:v>19</x:v>
      </x:c>
      <x:c r="B12" s="6" t="s">
        <x:v>24</x:v>
      </x:c>
      <x:c r="C12" s="7" t="s">
        <x:v>25</x:v>
      </x:c>
      <x:c r="D12" s="7" t="n">
        <x:v>4</x:v>
      </x:c>
      <x:c r="E12" s="7" t="n">
        <x:v>5</x:v>
      </x:c>
      <x:c r="F12" s="6"/>
    </x:row>
    <x:row r="13" ht="15" hidden="0">
      <x:c r="A13" s="4" t="s">
        <x:v>19</x:v>
      </x:c>
      <x:c r="B13" s="4" t="s">
        <x:v>26</x:v>
      </x:c>
      <x:c r="C13" s="5" t="s">
        <x:v>27</x:v>
      </x:c>
      <x:c r="D13" s="5" t="n">
        <x:v>1</x:v>
      </x:c>
      <x:c r="E13" s="5" t="n">
        <x:v>5</x:v>
      </x:c>
      <x:c r="F13" s="4"/>
    </x:row>
    <x:row r="14" ht="23.850000381469727" hidden="0">
      <x:c r="A14" s="6" t="s">
        <x:v>28</x:v>
      </x:c>
      <x:c r="B14" s="6" t="s">
        <x:v>29</x:v>
      </x:c>
      <x:c r="C14" s="7" t="s">
        <x:v>30</x:v>
      </x:c>
      <x:c r="D14" s="7" t="n">
        <x:v>5</x:v>
      </x:c>
      <x:c r="E14" s="7" t="n">
        <x:v>5</x:v>
      </x:c>
      <x:c r="F14" s="6"/>
    </x:row>
    <x:row r="15" ht="23.850000381469727" hidden="0">
      <x:c r="A15" s="4" t="s">
        <x:v>28</x:v>
      </x:c>
      <x:c r="B15" s="4" t="s">
        <x:v>31</x:v>
      </x:c>
      <x:c r="C15" s="5" t="s">
        <x:v>32</x:v>
      </x:c>
      <x:c r="D15" s="5" t="n">
        <x:v>4</x:v>
      </x:c>
      <x:c r="E15" s="5" t="n">
        <x:v>5</x:v>
      </x:c>
      <x:c r="F15" s="4"/>
    </x:row>
    <x:row r="16" ht="23.850000381469727" hidden="0">
      <x:c r="A16" s="6" t="s">
        <x:v>28</x:v>
      </x:c>
      <x:c r="B16" s="6" t="s">
        <x:v>33</x:v>
      </x:c>
      <x:c r="C16" s="7" t="s">
        <x:v>34</x:v>
      </x:c>
      <x:c r="D16" s="7" t="n">
        <x:v>3</x:v>
      </x:c>
      <x:c r="E16" s="7" t="n">
        <x:v>5</x:v>
      </x:c>
      <x:c r="F16" s="6"/>
    </x:row>
    <x:row r="17" ht="15" hidden="0">
      <x:c r="A17" s="4" t="s">
        <x:v>35</x:v>
      </x:c>
      <x:c r="B17" s="4" t="s">
        <x:v>36</x:v>
      </x:c>
      <x:c r="C17" s="5" t="s">
        <x:v>37</x:v>
      </x:c>
      <x:c r="D17" s="5" t="n">
        <x:v>0</x:v>
      </x:c>
      <x:c r="E17" s="5" t="n">
        <x:v>5</x:v>
      </x:c>
      <x:c r="F17" s="4"/>
    </x:row>
    <x:row r="18" ht="15" hidden="0">
      <x:c r="A18" s="6" t="s">
        <x:v>35</x:v>
      </x:c>
      <x:c r="B18" s="6" t="s">
        <x:v>38</x:v>
      </x:c>
      <x:c r="C18" s="7" t="s">
        <x:v>39</x:v>
      </x:c>
      <x:c r="D18" s="7" t="n">
        <x:v>1</x:v>
      </x:c>
      <x:c r="E18" s="7" t="n">
        <x:v>5</x:v>
      </x:c>
      <x:c r="F18" s="6"/>
    </x:row>
    <x:row r="19" ht="23.850000381469727" hidden="0">
      <x:c r="A19" s="4" t="s">
        <x:v>35</x:v>
      </x:c>
      <x:c r="B19" s="4" t="s">
        <x:v>40</x:v>
      </x:c>
      <x:c r="C19" s="5" t="s">
        <x:v>41</x:v>
      </x:c>
      <x:c r="D19" s="5" t="n">
        <x:v>3</x:v>
      </x:c>
      <x:c r="E19" s="5" t="n">
        <x:v>5</x:v>
      </x:c>
      <x:c r="F19" s="4"/>
    </x:row>
    <x:row r="20" ht="23.850000381469727" hidden="0">
      <x:c r="A20" s="6" t="s">
        <x:v>35</x:v>
      </x:c>
      <x:c r="B20" s="6" t="s">
        <x:v>42</x:v>
      </x:c>
      <x:c r="C20" s="7" t="s">
        <x:v>39</x:v>
      </x:c>
      <x:c r="D20" s="7" t="n">
        <x:v>2</x:v>
      </x:c>
      <x:c r="E20" s="7" t="n">
        <x:v>5</x:v>
      </x:c>
      <x:c r="F20" s="6"/>
    </x:row>
    <x:row r="21" ht="23.850000381469727" hidden="0">
      <x:c r="A21" s="4" t="s">
        <x:v>43</x:v>
      </x:c>
      <x:c r="B21" s="4" t="s">
        <x:v>44</x:v>
      </x:c>
      <x:c r="C21" s="5" t="s">
        <x:v>45</x:v>
      </x:c>
      <x:c r="D21" s="5" t="n">
        <x:v>5</x:v>
      </x:c>
      <x:c r="E21" s="5" t="n">
        <x:v>5</x:v>
      </x:c>
      <x:c r="F21" s="4"/>
    </x:row>
    <x:row r="22" ht="23.850000381469727" hidden="0">
      <x:c r="A22" s="6" t="s">
        <x:v>43</x:v>
      </x:c>
      <x:c r="B22" s="6" t="s">
        <x:v>46</x:v>
      </x:c>
      <x:c r="C22" s="7" t="s">
        <x:v>47</x:v>
      </x:c>
      <x:c r="D22" s="7" t="n">
        <x:v>4</x:v>
      </x:c>
      <x:c r="E22" s="7" t="n">
        <x:v>5</x:v>
      </x:c>
      <x:c r="F22" s="6"/>
    </x:row>
    <x:row r="23" ht="23.850000381469727" hidden="0">
      <x:c r="A23" s="4" t="s">
        <x:v>43</x:v>
      </x:c>
      <x:c r="B23" s="4" t="s">
        <x:v>48</x:v>
      </x:c>
      <x:c r="C23" s="5" t="s">
        <x:v>49</x:v>
      </x:c>
      <x:c r="D23" s="5" t="n">
        <x:v>3</x:v>
      </x:c>
      <x:c r="E23" s="5" t="n">
        <x:v>5</x:v>
      </x:c>
      <x:c r="F2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8" hidden="0" customWidth="1"/>
    <x:col min="3" max="3" width="9" hidden="0" customWidth="1"/>
    <x:col min="4" max="4" width="12" hidden="0" customWidth="1"/>
    <x:col min="5" max="5" width="18" hidden="0" customWidth="1"/>
    <x:col min="6" max="6" width="44" hidden="0" customWidth="1"/>
  </x:cols>
  <x:sheetData>
    <x:row r="1" ht="17.350000381469727" hidden="0">
      <x:c r="A1" s="1" t="s">
        <x:v>50</x:v>
      </x:c>
    </x:row>
    <x:row r="3" ht="15" hidden="0">
      <x:c r="A3" s="3" t="s">
        <x:v>51</x:v>
      </x:c>
      <x:c r="B3" s="3" t="s">
        <x:v>52</x:v>
      </x:c>
      <x:c r="C3" s="3" t="s">
        <x:v>53</x:v>
      </x:c>
      <x:c r="D3" s="3" t="s">
        <x:v>54</x:v>
      </x:c>
      <x:c r="E3" s="3" t="s">
        <x:v>55</x:v>
      </x:c>
      <x:c r="F3" s="3" t="s">
        <x:v>56</x:v>
      </x:c>
    </x:row>
    <x:row r="4" ht="23.850000381469727" hidden="0">
      <x:c r="A4" s="4" t="s">
        <x:v>8</x:v>
      </x:c>
      <x:c r="B4" s="5" t="n">
        <x:v>30</x:v>
      </x:c>
      <x:c r="C4" s="4" t="n">
        <x:f aca="0">SUMIFS('Farm Input'!D5:D23,'Farm Input'!A5:A23,A4)</x:f>
        <x:v>16</x:v>
      </x:c>
      <x:c r="D4" s="8" t="n">
        <x:f aca="0">C4/B4</x:f>
        <x:v>0.5333333333333333</x:v>
      </x:c>
      <x:c r="E4" s="4" t="str">
        <x:f aca="0">IF(D4&gt;=0.75,"Ready",IF(D4&gt;=0.4,"Partially Ready","Not Ready"))</x:f>
        <x:v>Partially Ready</x:v>
      </x:c>
      <x:c r="F4" s="4" t="s">
        <x:v>57</x:v>
      </x:c>
    </x:row>
    <x:row r="5" ht="15" hidden="0">
      <x:c r="A5" s="6" t="s">
        <x:v>19</x:v>
      </x:c>
      <x:c r="B5" s="7" t="n">
        <x:v>20</x:v>
      </x:c>
      <x:c r="C5" s="6" t="n">
        <x:f aca="0">SUMIFS('Farm Input'!D5:D23,'Farm Input'!A5:A23,A5)</x:f>
        <x:v>10</x:v>
      </x:c>
      <x:c r="D5" s="9" t="n">
        <x:f aca="0">C5/B5</x:f>
        <x:v>0.5</x:v>
      </x:c>
      <x:c r="E5" s="6" t="str">
        <x:f aca="0">IF(D5&gt;=0.75,"Ready",IF(D5&gt;=0.4,"Partially Ready","Not Ready"))</x:f>
        <x:v>Partially Ready</x:v>
      </x:c>
      <x:c r="F5" s="6" t="s">
        <x:v>58</x:v>
      </x:c>
    </x:row>
    <x:row r="6" ht="23.850000381469727" hidden="0">
      <x:c r="A6" s="4" t="s">
        <x:v>28</x:v>
      </x:c>
      <x:c r="B6" s="5" t="n">
        <x:v>15</x:v>
      </x:c>
      <x:c r="C6" s="4" t="n">
        <x:f aca="0">SUMIFS('Farm Input'!D5:D23,'Farm Input'!A5:A23,A6)</x:f>
        <x:v>12</x:v>
      </x:c>
      <x:c r="D6" s="8" t="n">
        <x:f aca="0">C6/B6</x:f>
        <x:v>0.8</x:v>
      </x:c>
      <x:c r="E6" s="4" t="str">
        <x:f aca="0">IF(D6&gt;=0.75,"Ready",IF(D6&gt;=0.4,"Partially Ready","Not Ready"))</x:f>
        <x:v>Ready</x:v>
      </x:c>
      <x:c r="F6" s="4" t="s">
        <x:v>59</x:v>
      </x:c>
    </x:row>
    <x:row r="7" ht="23.850000381469727" hidden="0">
      <x:c r="A7" s="6" t="s">
        <x:v>35</x:v>
      </x:c>
      <x:c r="B7" s="7" t="n">
        <x:v>20</x:v>
      </x:c>
      <x:c r="C7" s="6" t="n">
        <x:f aca="0">SUMIFS('Farm Input'!D5:D23,'Farm Input'!A5:A23,A7)</x:f>
        <x:v>6</x:v>
      </x:c>
      <x:c r="D7" s="9" t="n">
        <x:f aca="0">C7/B7</x:f>
        <x:v>0.3</x:v>
      </x:c>
      <x:c r="E7" s="6" t="str">
        <x:f aca="0">IF(D7&gt;=0.75,"Ready",IF(D7&gt;=0.4,"Partially Ready","Not Ready"))</x:f>
        <x:v>Not Ready</x:v>
      </x:c>
      <x:c r="F7" s="6" t="s">
        <x:v>60</x:v>
      </x:c>
    </x:row>
    <x:row r="8" ht="15" hidden="0">
      <x:c r="A8" s="4" t="s">
        <x:v>43</x:v>
      </x:c>
      <x:c r="B8" s="5" t="n">
        <x:v>15</x:v>
      </x:c>
      <x:c r="C8" s="4" t="n">
        <x:f aca="0">SUMIFS('Farm Input'!D5:D23,'Farm Input'!A5:A23,A8)</x:f>
        <x:v>12</x:v>
      </x:c>
      <x:c r="D8" s="8" t="n">
        <x:f aca="0">C8/B8</x:f>
        <x:v>0.8</x:v>
      </x:c>
      <x:c r="E8" s="4" t="str">
        <x:f aca="0">IF(D8&gt;=0.75,"Ready",IF(D8&gt;=0.4,"Partially Ready","Not Ready"))</x:f>
        <x:v>Ready</x:v>
      </x:c>
      <x:c r="F8" s="4" t="s">
        <x:v>61</x:v>
      </x:c>
    </x:row>
    <x:row r="10" ht="15" hidden="0">
      <x:c r="A10" s="10" t="s">
        <x:v>62</x:v>
      </x:c>
      <x:c r="B10" s="11" t="n">
        <x:f aca="0">SUM(B4:B8)</x:f>
        <x:v>100</x:v>
      </x:c>
      <x:c r="C10" s="11" t="n">
        <x:f aca="0">SUM(C4:C8)</x:f>
        <x:v>56</x:v>
      </x:c>
      <x:c r="D10" s="12" t="n">
        <x:f aca="0">C10/B10</x:f>
        <x:v>0.56</x:v>
      </x:c>
      <x:c r="E10" s="13" t="str">
        <x:f aca="0">IF(D10&gt;=0.75,"AI-Ready",IF(D10&gt;=0.4,"Partially AI-Ready","Not AI-Ready"))</x:f>
        <x:v>Partially AI-Ready</x:v>
      </x:c>
      <x:c r="F1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30" hidden="0" customWidth="1"/>
    <x:col min="3" max="3" width="34" hidden="0" customWidth="1"/>
    <x:col min="4" max="4" width="30" hidden="0" customWidth="1"/>
    <x:col min="5" max="5" width="10" hidden="0" customWidth="1"/>
    <x:col min="6" max="6" width="30" hidden="0" customWidth="1"/>
    <x:col min="7" max="7" width="16" hidden="0" customWidth="1"/>
  </x:cols>
  <x:sheetData>
    <x:row r="1" ht="17.350000381469727" hidden="0">
      <x:c r="A1" s="1" t="s">
        <x:v>63</x:v>
      </x:c>
    </x:row>
    <x:row r="2" ht="15" hidden="0">
      <x:c r="A2" s="2" t="s">
        <x:v>64</x:v>
      </x:c>
    </x:row>
    <x:row r="4" ht="26.850000381469727" hidden="0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70</x:v>
      </x:c>
      <x:c r="G4" s="3" t="s">
        <x:v>71</x:v>
      </x:c>
    </x:row>
    <x:row r="5" ht="23.850000381469727" hidden="0">
      <x:c r="A5" s="15" t="s">
        <x:v>72</x:v>
      </x:c>
      <x:c r="B5" s="15" t="s">
        <x:v>73</x:v>
      </x:c>
      <x:c r="C5" s="15" t="s">
        <x:v>74</x:v>
      </x:c>
      <x:c r="D5" s="15" t="s">
        <x:v>75</x:v>
      </x:c>
      <x:c r="E5" s="15" t="s">
        <x:v>76</x:v>
      </x:c>
      <x:c r="F5" s="15" t="s">
        <x:v>77</x:v>
      </x:c>
      <x:c r="G5" s="15" t="s">
        <x:v>78</x:v>
      </x:c>
    </x:row>
    <x:row r="6" ht="23.850000381469727" hidden="0">
      <x:c r="A6" s="16" t="s">
        <x:v>79</x:v>
      </x:c>
      <x:c r="B6" s="16" t="s">
        <x:v>80</x:v>
      </x:c>
      <x:c r="C6" s="16" t="s">
        <x:v>81</x:v>
      </x:c>
      <x:c r="D6" s="16" t="s">
        <x:v>82</x:v>
      </x:c>
      <x:c r="E6" s="16" t="s">
        <x:v>83</x:v>
      </x:c>
      <x:c r="F6" s="16" t="s">
        <x:v>84</x:v>
      </x:c>
      <x:c r="G6" s="16" t="s">
        <x:v>78</x:v>
      </x:c>
    </x:row>
    <x:row r="7" ht="23.850000381469727" hidden="0">
      <x:c r="A7" s="15" t="s">
        <x:v>85</x:v>
      </x:c>
      <x:c r="B7" s="15" t="s">
        <x:v>86</x:v>
      </x:c>
      <x:c r="C7" s="15" t="s">
        <x:v>87</x:v>
      </x:c>
      <x:c r="D7" s="15" t="s">
        <x:v>88</x:v>
      </x:c>
      <x:c r="E7" s="15" t="s">
        <x:v>76</x:v>
      </x:c>
      <x:c r="F7" s="15" t="s">
        <x:v>89</x:v>
      </x:c>
      <x:c r="G7" s="15" t="s">
        <x:v>78</x:v>
      </x:c>
    </x:row>
    <x:row r="8" ht="23.850000381469727" hidden="0">
      <x:c r="A8" s="16" t="s">
        <x:v>90</x:v>
      </x:c>
      <x:c r="B8" s="16" t="s">
        <x:v>91</x:v>
      </x:c>
      <x:c r="C8" s="16" t="s">
        <x:v>92</x:v>
      </x:c>
      <x:c r="D8" s="16" t="s">
        <x:v>93</x:v>
      </x:c>
      <x:c r="E8" s="16" t="s">
        <x:v>83</x:v>
      </x:c>
      <x:c r="F8" s="16" t="s">
        <x:v>94</x:v>
      </x:c>
      <x:c r="G8" s="16" t="s">
        <x:v>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34" hidden="0" customWidth="1"/>
    <x:col min="3" max="3" width="46" hidden="0" customWidth="1"/>
    <x:col min="4" max="4" width="26" hidden="0" customWidth="1"/>
  </x:cols>
  <x:sheetData>
    <x:row r="1" ht="17.350000381469727" hidden="0">
      <x:c r="A1" s="1" t="s">
        <x:v>95</x:v>
      </x:c>
    </x:row>
    <x:row r="3" ht="15" hidden="0">
      <x:c r="A3" s="3" t="s">
        <x:v>96</x:v>
      </x:c>
      <x:c r="B3" s="3" t="s">
        <x:v>97</x:v>
      </x:c>
      <x:c r="C3" s="3" t="s">
        <x:v>98</x:v>
      </x:c>
      <x:c r="D3" s="3" t="s">
        <x:v>99</x:v>
      </x:c>
    </x:row>
    <x:row r="4" ht="23.850000381469727" hidden="0">
      <x:c r="A4" s="15" t="s">
        <x:v>100</x:v>
      </x:c>
      <x:c r="B4" s="15" t="s">
        <x:v>101</x:v>
      </x:c>
      <x:c r="C4" s="15" t="s">
        <x:v>102</x:v>
      </x:c>
      <x:c r="D4" s="15" t="s">
        <x:v>103</x:v>
      </x:c>
    </x:row>
    <x:row r="5" ht="23.850000381469727" hidden="0">
      <x:c r="A5" s="16" t="s">
        <x:v>104</x:v>
      </x:c>
      <x:c r="B5" s="16" t="s">
        <x:v>105</x:v>
      </x:c>
      <x:c r="C5" s="16" t="s">
        <x:v>106</x:v>
      </x:c>
      <x:c r="D5" s="16" t="s">
        <x:v>107</x:v>
      </x:c>
    </x:row>
    <x:row r="6" ht="23.850000381469727" hidden="0">
      <x:c r="A6" s="15" t="s">
        <x:v>108</x:v>
      </x:c>
      <x:c r="B6" s="15" t="s">
        <x:v>109</x:v>
      </x:c>
      <x:c r="C6" s="15" t="s">
        <x:v>110</x:v>
      </x:c>
      <x:c r="D6" s="15" t="s">
        <x:v>111</x:v>
      </x:c>
    </x:row>
    <x:row r="7" ht="23.850000381469727" hidden="0">
      <x:c r="A7" s="16" t="s">
        <x:v>112</x:v>
      </x:c>
      <x:c r="B7" s="16" t="s">
        <x:v>113</x:v>
      </x:c>
      <x:c r="C7" s="16" t="s">
        <x:v>114</x:v>
      </x:c>
      <x:c r="D7" s="16" t="s">
        <x:v>115</x:v>
      </x:c>
    </x:row>
    <x:row r="8" ht="23.850000381469727" hidden="0">
      <x:c r="A8" s="15" t="s">
        <x:v>116</x:v>
      </x:c>
      <x:c r="B8" s="15" t="s">
        <x:v>117</x:v>
      </x:c>
      <x:c r="C8" s="15" t="s">
        <x:v>118</x:v>
      </x:c>
      <x:c r="D8" s="15" t="s">
        <x:v>119</x:v>
      </x:c>
    </x:row>
    <x:row r="9" ht="23.850000381469727" hidden="0">
      <x:c r="A9" s="16" t="s">
        <x:v>120</x:v>
      </x:c>
      <x:c r="B9" s="16" t="s">
        <x:v>121</x:v>
      </x:c>
      <x:c r="C9" s="16" t="s">
        <x:v>122</x:v>
      </x:c>
      <x:c r="D9" s="16" t="s">
        <x:v>123</x:v>
      </x:c>
    </x:row>
    <x:row r="10" ht="23.850000381469727" hidden="0">
      <x:c r="A10" s="15" t="s">
        <x:v>124</x:v>
      </x:c>
      <x:c r="B10" s="15" t="s">
        <x:v>125</x:v>
      </x:c>
      <x:c r="C10" s="15" t="s">
        <x:v>126</x:v>
      </x:c>
      <x:c r="D10" s="15" t="s">
        <x:v>127</x:v>
      </x:c>
    </x:row>
    <x:row r="11" ht="23.850000381469727" hidden="0">
      <x:c r="A11" s="16" t="s">
        <x:v>128</x:v>
      </x:c>
      <x:c r="B11" s="16" t="s">
        <x:v>129</x:v>
      </x:c>
      <x:c r="C11" s="16" t="s">
        <x:v>130</x:v>
      </x:c>
      <x:c r="D11" s="16" t="s">
        <x:v>131</x:v>
      </x:c>
    </x:row>
    <x:row r="12" ht="23.850000381469727" hidden="0">
      <x:c r="A12" s="15" t="s">
        <x:v>132</x:v>
      </x:c>
      <x:c r="B12" s="15" t="s">
        <x:v>133</x:v>
      </x:c>
      <x:c r="C12" s="15" t="s">
        <x:v>134</x:v>
      </x:c>
      <x:c r="D12" s="15" t="s">
        <x:v>135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22" hidden="0" customWidth="1"/>
    <x:col min="3" max="3" width="20" hidden="0" customWidth="1"/>
    <x:col min="4" max="4" width="46" hidden="0" customWidth="1"/>
  </x:cols>
  <x:sheetData>
    <x:row r="1" ht="17.350000381469727" hidden="0">
      <x:c r="A1" s="1" t="s">
        <x:v>136</x:v>
      </x:c>
    </x:row>
    <x:row r="3" ht="15" hidden="0">
      <x:c r="A3" s="17" t="s">
        <x:v>137</x:v>
      </x:c>
      <x:c r="B3" s="18" t="str">
        <x:f aca="0">'Readiness Score'!C10&amp;" / "&amp;'Readiness Score'!B10</x:f>
        <x:v>56 / 100</x:v>
      </x:c>
    </x:row>
    <x:row r="4" ht="15" hidden="0">
      <x:c r="A4" s="17" t="s">
        <x:v>138</x:v>
      </x:c>
      <x:c r="B4" s="19" t="str">
        <x:f aca="0">'Readiness Score'!E10</x:f>
        <x:v>Partially AI-Ready</x:v>
      </x:c>
    </x:row>
    <x:row r="6" ht="15" hidden="0">
      <x:c r="A6" s="17" t="s">
        <x:v>139</x:v>
      </x:c>
    </x:row>
    <x:row r="7" ht="15" hidden="0">
      <x:c r="A7" s="3" t="s">
        <x:v>51</x:v>
      </x:c>
      <x:c r="B7" s="3" t="s">
        <x:v>5</x:v>
      </x:c>
      <x:c r="C7" s="3" t="s">
        <x:v>55</x:v>
      </x:c>
      <x:c r="D7" s="3" t="s">
        <x:v>56</x:v>
      </x:c>
    </x:row>
    <x:row r="8" ht="23.850000381469727" hidden="0">
      <x:c r="A8" s="15" t="str">
        <x:f aca="0">'Readiness Score'!A4</x:f>
        <x:v>Data Readiness</x:v>
      </x:c>
      <x:c r="B8" s="15" t="str">
        <x:f aca="0">'Readiness Score'!C4&amp;" / "&amp;'Readiness Score'!B4</x:f>
        <x:v>16 / 30</x:v>
      </x:c>
      <x:c r="C8" s="15" t="str">
        <x:f aca="0">'Readiness Score'!E4</x:f>
        <x:v>Partially Ready</x:v>
      </x:c>
      <x:c r="D8" s="15" t="str">
        <x:f aca="0">'Readiness Score'!F4</x:f>
        <x:v>Historical yield data and pest/disease tracking are the weakest points.</x:v>
      </x:c>
    </x:row>
    <x:row r="9" ht="15" hidden="0">
      <x:c r="A9" s="16" t="str">
        <x:f aca="0">'Readiness Score'!A5</x:f>
        <x:v>Infrastructure Readiness</x:v>
      </x:c>
      <x:c r="B9" s="16" t="str">
        <x:f aca="0">'Readiness Score'!C5&amp;" / "&amp;'Readiness Score'!B5</x:f>
        <x:v>10 / 20</x:v>
      </x:c>
      <x:c r="C9" s="16" t="str">
        <x:f aca="0">'Readiness Score'!E5</x:f>
        <x:v>Partially Ready</x:v>
      </x:c>
      <x:c r="D9" s="16" t="str">
        <x:f aca="0">'Readiness Score'!F5</x:f>
        <x:v>No on-farm sensors installed.</x:v>
      </x:c>
    </x:row>
    <x:row r="10" ht="23.850000381469727" hidden="0">
      <x:c r="A10" s="15" t="str">
        <x:f aca="0">'Readiness Score'!A6</x:f>
        <x:v>Skills Readiness</x:v>
      </x:c>
      <x:c r="B10" s="15" t="str">
        <x:f aca="0">'Readiness Score'!C6&amp;" / "&amp;'Readiness Score'!B6</x:f>
        <x:v>12 / 15</x:v>
      </x:c>
      <x:c r="C10" s="15" t="str">
        <x:f aca="0">'Readiness Score'!E6</x:f>
        <x:v>Ready</x:v>
      </x:c>
      <x:c r="D10" s="15" t="str">
        <x:f aca="0">'Readiness Score'!F6</x:f>
        <x:v>Limited exposure to digital farming tools, though attitude is positive.</x:v>
      </x:c>
    </x:row>
    <x:row r="11" ht="23.850000381469727" hidden="0">
      <x:c r="A11" s="16" t="str">
        <x:f aca="0">'Readiness Score'!A7</x:f>
        <x:v>Governance Readiness</x:v>
      </x:c>
      <x:c r="B11" s="16" t="str">
        <x:f aca="0">'Readiness Score'!C7&amp;" / "&amp;'Readiness Score'!B7</x:f>
        <x:v>6 / 20</x:v>
      </x:c>
      <x:c r="C11" s="16" t="str">
        <x:f aca="0">'Readiness Score'!E7</x:f>
        <x:v>Not Ready</x:v>
      </x:c>
      <x:c r="D11" s="16" t="str">
        <x:f aca="0">'Readiness Score'!F7</x:f>
        <x:v>No formal consent process and low PDPL/AI-ethics awareness.</x:v>
      </x:c>
    </x:row>
    <x:row r="12" ht="15" hidden="0">
      <x:c r="A12" s="15" t="str">
        <x:f aca="0">'Readiness Score'!A8</x:f>
        <x:v>Sandbox Readiness</x:v>
      </x:c>
      <x:c r="B12" s="15" t="str">
        <x:f aca="0">'Readiness Score'!C8&amp;" / "&amp;'Readiness Score'!B8</x:f>
        <x:v>12 / 15</x:v>
      </x:c>
      <x:c r="C12" s="15" t="str">
        <x:f aca="0">'Readiness Score'!E8</x:f>
        <x:v>Ready</x:v>
      </x:c>
      <x:c r="D12" s="15" t="str">
        <x:f aca="0">'Readiness Score'!F8</x:f>
        <x:v>Strong openness to trial-based, sandboxed adoption.</x:v>
      </x:c>
    </x:row>
    <x:row r="14" ht="15" hidden="0">
      <x:c r="A14" s="17" t="s">
        <x:v>140</x:v>
      </x:c>
    </x:row>
    <x:row r="15" ht="60" hidden="0" customHeight="1">
      <x:c r="A15" s="20" t="s">
        <x:v>141</x:v>
      </x:c>
      <x:c r="B15" s="20"/>
      <x:c r="C15" s="20"/>
      <x:c r="D15" s="20"/>
    </x:row>
  </x:sheetData>
  <x:mergeCells>
    <x:mergeCell ref="A15:D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38" hidden="0" customWidth="1"/>
    <x:col min="6" max="6" width="38" hidden="0" customWidth="1"/>
    <x:col min="7" max="7" width="48" hidden="0" customWidth="1"/>
    <x:col min="8" max="8" width="30" hidden="0" customWidth="1"/>
    <x:col min="9" max="9" width="15" hidden="0" customWidth="1"/>
    <x:col min="10" max="10" width="19" hidden="0" customWidth="1"/>
    <x:col min="11" max="11" width="52" hidden="0" customWidth="1"/>
  </x:cols>
  <x:sheetData>
    <x:row r="1" ht="32" customHeight="1">
      <x:c r="A1" s="24" t="str">
        <x:v>TerraTwin — Policy &amp; Implementation Gaps Action Register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 ht="30" customHeight="1">
      <x:c r="A2" s="28" t="str">
        <x:v>Implementation-gap analysis for the TerraTwin prototype. These are evidence-based policy proposals, not a legal finding that Saudi Arabia lacks regulation.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4" ht="26" customHeight="1">
      <x:c r="A4" s="38" t="str">
        <x:v>Overall AI readiness</x:v>
      </x:c>
      <x:c r="B4" s="39"/>
      <x:c r="C4" s="40" t="n">
        <x:f>'Readiness Score'!D10</x:f>
        <x:v>0.56</x:v>
      </x:c>
      <x:c r="D4" s="39" t="str">
        <x:v>Lowest-scoring dimension</x:v>
      </x:c>
      <x:c r="E4" s="39"/>
      <x:c r="F4" s="39"/>
      <x:c r="G4" s="39" t="str">
        <x:v>Governance Readiness</x:v>
      </x:c>
      <x:c r="H4" s="39" t="str">
        <x:v>Governance readiness</x:v>
      </x:c>
      <x:c r="I4" s="39"/>
      <x:c r="J4" s="39"/>
      <x:c r="K4" s="41" t="n">
        <x:f>'Readiness Score'!D7</x:f>
        <x:v>0.3</x:v>
      </x:c>
    </x:row>
    <x:row r="6" ht="44" customHeight="1">
      <x:c r="A6" s="45" t="str">
        <x:v>Gap ID</x:v>
      </x:c>
      <x:c r="B6" s="45" t="str">
        <x:v>Proposed policy / implementation gap</x:v>
      </x:c>
      <x:c r="C6" s="45" t="str">
        <x:v>Linked readiness dimension</x:v>
      </x:c>
      <x:c r="D6" s="45" t="str">
        <x:v>Current readiness</x:v>
      </x:c>
      <x:c r="E6" s="45" t="str">
        <x:v>Evidence from TerraTwin</x:v>
      </x:c>
      <x:c r="F6" s="45" t="str">
        <x:v>Risk if unresolved</x:v>
      </x:c>
      <x:c r="G6" s="45" t="str">
        <x:v>Recommended policy / action</x:v>
      </x:c>
      <x:c r="H6" s="45" t="str">
        <x:v>Lead stakeholders</x:v>
      </x:c>
      <x:c r="I6" s="45" t="str">
        <x:v>Target horizon</x:v>
      </x:c>
      <x:c r="J6" s="45" t="str">
        <x:v>Readiness-linked urgency</x:v>
      </x:c>
      <x:c r="K6" s="45" t="str">
        <x:v>Primary official reference(s)</x:v>
      </x:c>
    </x:row>
    <x:row r="7" ht="92" customHeight="1">
      <x:c r="A7" s="104" t="str">
        <x:v>PG-01</x:v>
      </x:c>
      <x:c r="B7" s="85" t="str">
        <x:v>Farm-data consent and purpose-limitation toolkit for smallholders</x:v>
      </x:c>
      <x:c r="C7" s="108" t="str">
        <x:v>Governance Readiness</x:v>
      </x:c>
      <x:c r="D7" s="109" t="n">
        <x:f>'Readiness Score'!D7</x:f>
        <x:v>0.3</x:v>
      </x:c>
      <x:c r="E7" s="85" t="str">
        <x:v>No formal consent process; low PDPL awareness; farm records may combine identity, location, crop and transaction data.</x:v>
      </x:c>
      <x:c r="F7" s="85" t="str">
        <x:v>Farmers may not understand why data is collected, how long it is retained, or who can reuse it, reducing trust and creating compliance risk.</x:v>
      </x:c>
      <x:c r="G7" s="85" t="str">
        <x:v>Issue an agriculture-specific, plain-language Arabic consent pack covering purpose, minimum data, retention, sharing, withdrawal and voice-assisted consent; embed it in digital-farm services.</x:v>
      </x:c>
      <x:c r="H7" s="85" t="str">
        <x:v>SDAIA / NDMO; MEWA; digital agriculture service providers</x:v>
      </x:c>
      <x:c r="I7" s="108" t="str">
        <x:v>0–6 months</x:v>
      </x:c>
      <x:c r="J7" s="116" t="str">
        <x:f>IF(D7&lt;40%,"Critical",IF(D7&lt;60%,"High",IF(D7&lt;80%,"Medium","Strategic")))</x:f>
        <x:v>Critical</x:v>
      </x:c>
      <x:c r="K7" s="120" t="str">
        <x:v>https://sdaia.gov.sa/en/SDAIA/about/Documents/Personal%20Data%20English%20V2-23April2023-%20Reviewed-.pdf
https://dgp.sdaia.gov.sa/wps/portal/pdp/knowledgecenter/details/PDPL2/</x:v>
      </x:c>
    </x:row>
    <x:row r="8" ht="92" customHeight="1">
      <x:c r="A8" s="105" t="str">
        <x:v>PG-02</x:v>
      </x:c>
      <x:c r="B8" s="89" t="str">
        <x:v>Minimum agricultural AI data-quality, provenance and confidence standard</x:v>
      </x:c>
      <x:c r="C8" s="110" t="str">
        <x:v>Data Readiness</x:v>
      </x:c>
      <x:c r="D8" s="111" t="n">
        <x:f>'Readiness Score'!D4</x:f>
        <x:v>0.5333333333333333</x:v>
      </x:c>
      <x:c r="E8" s="89" t="str">
        <x:v>Only one season of yield history; no formal pest log; prototype outputs correctly label sample data as low confidence.</x:v>
      </x:c>
      <x:c r="F8" s="89" t="str">
        <x:v>Poorly sourced or stale data can produce precise-looking but unreliable recommendations and make results impossible to audit.</x:v>
      </x:c>
      <x:c r="G8" s="89" t="str">
        <x:v>Define mandatory metadata for farm-AI inputs: source, timestamp, unit, location precision, calibration status, missingness, consent basis and confidence label; require provenance to follow each recommendation.</x:v>
      </x:c>
      <x:c r="H8" s="89" t="str">
        <x:v>MEWA; SDAIA / NDMO; GASTAT; research and extension bodies</x:v>
      </x:c>
      <x:c r="I8" s="110" t="str">
        <x:v>6–12 months</x:v>
      </x:c>
      <x:c r="J8" s="117" t="str">
        <x:f>IF(D8&lt;40%,"Critical",IF(D8&lt;60%,"High",IF(D8&lt;80%,"Medium","Strategic")))</x:f>
        <x:v>High</x:v>
      </x:c>
      <x:c r="K8" s="121" t="str">
        <x:v>https://sdaia.gov.sa/ndmo/Files/PoliciesEn001.pdf
https://www.itu.int/rec/T-REC-Y.3172/en</x:v>
      </x:c>
    </x:row>
    <x:row r="9" ht="92" customHeight="1">
      <x:c r="A9" s="106" t="str">
        <x:v>PG-03</x:v>
      </x:c>
      <x:c r="B9" s="93" t="str">
        <x:v>Interoperability profile for smallholder sensors, farm records and advisory platforms</x:v>
      </x:c>
      <x:c r="C9" s="112" t="str">
        <x:v>Infrastructure Readiness</x:v>
      </x:c>
      <x:c r="D9" s="113" t="n">
        <x:f>'Readiness Score'!D5</x:f>
        <x:v>0.5</x:v>
      </x:c>
      <x:c r="E9" s="93" t="str">
        <x:v>No on-farm sensors; farm information is split across notebooks, phones, weather services and potential future devices.</x:v>
      </x:c>
      <x:c r="F9" s="93" t="str">
        <x:v>Vendor-specific formats and disconnected systems raise adoption cost, prevent longitudinal records and limit reuse across regions and programs.</x:v>
      </x:c>
      <x:c r="G9" s="93" t="str">
        <x:v>Publish a lightweight national farm-data schema and API profile for soil, irrigation, weather, crop, pest and yield records, with offline synchronization and low-cost device conformance tests.</x:v>
      </x:c>
      <x:c r="H9" s="93" t="str">
        <x:v>MEWA; Digital Government Authority; SDAIA; standards bodies; vendors</x:v>
      </x:c>
      <x:c r="I9" s="112" t="str">
        <x:v>6–18 months</x:v>
      </x:c>
      <x:c r="J9" s="118" t="str">
        <x:f>IF(D9&lt;40%,"Critical",IF(D9&lt;60%,"High",IF(D9&lt;80%,"Medium","Strategic")))</x:f>
        <x:v>High</x:v>
      </x:c>
      <x:c r="K9" s="122" t="str">
        <x:v>https://www.itu.int/rec/T-REC-Y.3172/en
https://www.mewa.gov.sa/en/Ministry/Agencies/AgencyForInnovation/Topics/LegislativeExperimentalEnvProgram/Pages/Agriculture.aspx</x:v>
      </x:c>
    </x:row>
    <x:row r="10" ht="92" customHeight="1">
      <x:c r="A10" s="105" t="str">
        <x:v>PG-04</x:v>
      </x:c>
      <x:c r="B10" s="89" t="str">
        <x:v>Agricultural AI sandbox validation and release-gate protocol</x:v>
      </x:c>
      <x:c r="C10" s="110" t="str">
        <x:v>Sandbox Readiness</x:v>
      </x:c>
      <x:c r="D10" s="111" t="n">
        <x:f>'Readiness Score'!D8</x:f>
        <x:v>0.8</x:v>
      </x:c>
      <x:c r="E10" s="89" t="str">
        <x:v>Farmers are open to small-plot trials, and TerraTwin can block unsafe actions, but no common evidence threshold defines when a model may move from simulation to field use.</x:v>
      </x:c>
      <x:c r="F10" s="89" t="str">
        <x:v>Unvalidated recommendations can cause crop loss, water waste or unsafe input use; informal testing also makes results difficult to compare.</x:v>
      </x:c>
      <x:c r="G10" s="89" t="str">
        <x:v>Create a staged protocol: simulated testing, failure scenarios, small-plot trial, expert review, farmer approval, release threshold, rollback plan and post-release monitoring. Align the pipeline gate with Y.3172 Policy and ML Sandbox roles.</x:v>
      </x:c>
      <x:c r="H10" s="89" t="str">
        <x:v>MEWA Innovation Agency; SDAIA; universities; extension services</x:v>
      </x:c>
      <x:c r="I10" s="110" t="str">
        <x:v>0–12 months</x:v>
      </x:c>
      <x:c r="J10" s="117" t="str">
        <x:f>IF(D10&lt;40%,"Critical",IF(D10&lt;60%,"High",IF(D10&lt;80%,"Medium","Strategic")))</x:f>
        <x:v>Strategic</x:v>
      </x:c>
      <x:c r="K10" s="121" t="str">
        <x:v>https://www.mewa.gov.sa/en/Ministry/Agencies/AgencyForInnovation/Topics/LegislativeExperimentalEnvProgram/Pages/Agriculture.aspx
https://www.itu.int/rec/T-REC-Y.3172/en</x:v>
      </x:c>
    </x:row>
    <x:row r="11" ht="92" customHeight="1">
      <x:c r="A11" s="106" t="str">
        <x:v>PG-05</x:v>
      </x:c>
      <x:c r="B11" s="93" t="str">
        <x:v>Human oversight, explanation, escalation and contestability requirements</x:v>
      </x:c>
      <x:c r="C11" s="112" t="str">
        <x:v>Governance Readiness</x:v>
      </x:c>
      <x:c r="D11" s="113" t="n">
        <x:f>'Readiness Score'!D7</x:f>
        <x:v>0.3</x:v>
      </x:c>
      <x:c r="E11" s="93" t="str">
        <x:v>The prototype provides reasons and can refuse actions, but production governance must define who reviews contested or high-risk advice.</x:v>
      </x:c>
      <x:c r="F11" s="93" t="str">
        <x:v>Farmers could be pressured to follow opaque recommendations without a practical way to ask why, report harm or obtain expert review.</x:v>
      </x:c>
      <x:c r="G11" s="93" t="str">
        <x:v>Require reason codes, confidence and data-source disclosure; preserve the farmer's final decision; route high-risk cases to an extension officer; provide an accessible correction/appeal channel and decision log.</x:v>
      </x:c>
      <x:c r="H11" s="93" t="str">
        <x:v>SDAIA; MEWA; extension services; solution providers</x:v>
      </x:c>
      <x:c r="I11" s="112" t="str">
        <x:v>0–6 months</x:v>
      </x:c>
      <x:c r="J11" s="118" t="str">
        <x:f>IF(D11&lt;40%,"Critical",IF(D11&lt;60%,"High",IF(D11&lt;80%,"Medium","Strategic")))</x:f>
        <x:v>Critical</x:v>
      </x:c>
      <x:c r="K11" s="122" t="str">
        <x:v>https://dgp.sdaia.gov.sa/wps/portal/pdp/services/servicesdetails/AIEthicsAssessment/
https://sdaia.gov.sa/en/MediaCenter/KnowledgeCenter/Pages/SDAIAPublications.aspx</x:v>
      </x:c>
    </x:row>
    <x:row r="12" ht="92" customHeight="1">
      <x:c r="A12" s="105" t="str">
        <x:v>PG-06</x:v>
      </x:c>
      <x:c r="B12" s="89" t="str">
        <x:v>Inclusive delivery baseline for Arabic, voice-first use and low connectivity</x:v>
      </x:c>
      <x:c r="C12" s="110" t="str">
        <x:v>Skills Readiness</x:v>
      </x:c>
      <x:c r="D12" s="111" t="n">
        <x:f>'Readiness Score'!D6</x:f>
        <x:v>0.8</x:v>
      </x:c>
      <x:c r="E12" s="89" t="str">
        <x:v>Operators are comfortable with smartphones but have limited exposure to digital farming; TerraTwin therefore supports Arabic, voice, offline knowledge and simple workflows.</x:v>
      </x:c>
      <x:c r="F12" s="89" t="str">
        <x:v>Text-heavy, always-online AI services may exclude experienced smallholders, widen the digital divide and lower the quality of feedback data.</x:v>
      </x:c>
      <x:c r="G12" s="89" t="str">
        <x:v>Add agricultural-AI accessibility criteria to procurement and pilots: Arabic-first content, voice input/output, low-bandwidth mode, offline fallback, readable confidence labels, assisted onboarding and extension-led training.</x:v>
      </x:c>
      <x:c r="H12" s="89" t="str">
        <x:v>MEWA; Digital Government Authority; SDAIA; extension and training providers</x:v>
      </x:c>
      <x:c r="I12" s="110" t="str">
        <x:v>0–12 months</x:v>
      </x:c>
      <x:c r="J12" s="117" t="str">
        <x:f>IF(D12&lt;40%,"Critical",IF(D12&lt;60%,"High",IF(D12&lt;80%,"Medium","Strategic")))</x:f>
        <x:v>Strategic</x:v>
      </x:c>
      <x:c r="K12" s="121" t="str">
        <x:v>https://sdaia.gov.sa/en/SDAIA/about/Files/GenerativeAIPublicEN.pdf
https://www.mewa.gov.sa/en/</x:v>
      </x:c>
    </x:row>
    <x:row r="13" ht="92" customHeight="1">
      <x:c r="A13" s="106" t="str">
        <x:v>PG-07</x:v>
      </x:c>
      <x:c r="B13" s="93" t="str">
        <x:v>Machine-readable water and environmental guardrails for agricultural recommendations</x:v>
      </x:c>
      <x:c r="C13" s="112" t="str">
        <x:v>Governance Readiness</x:v>
      </x:c>
      <x:c r="D13" s="113" t="n">
        <x:f>'Readiness Score'!D7</x:f>
        <x:v>0.3</x:v>
      </x:c>
      <x:c r="E13" s="93" t="str">
        <x:v>TerraTwin's Policy node restricts repeated irrigation and excessive fertilization, but production rules need an authoritative, updateable source by crop, region and season.</x:v>
      </x:c>
      <x:c r="F13" s="93" t="str">
        <x:v>A model optimized only for yield can conflict with water-demand management, salinity control, runoff prevention and regional resource limits.</x:v>
      </x:c>
      <x:c r="G13" s="93" t="str">
        <x:v>Publish a versioned policy-rule library with thresholds and exceptions that systems can call before issuing advice; log each rule applied and the expected water/environmental impact.</x:v>
      </x:c>
      <x:c r="H13" s="93" t="str">
        <x:v>MEWA Water Agency; agricultural regulators; research centers; solution providers</x:v>
      </x:c>
      <x:c r="I13" s="112" t="str">
        <x:v>6–18 months</x:v>
      </x:c>
      <x:c r="J13" s="118" t="str">
        <x:f>IF(D13&lt;40%,"Critical",IF(D13&lt;60%,"High",IF(D13&lt;80%,"Medium","Strategic")))</x:f>
        <x:v>Critical</x:v>
      </x:c>
      <x:c r="K13" s="122" t="str">
        <x:v>https://www.mewa.gov.sa/en/Ministry/Agencies/TheWaterAgency/Topics/Pages/Strategy.aspx
https://www.mewa.gov.sa/en/InformationCenter/DocsCenter/RulesLibrary/Pages/default.aspx</x:v>
      </x:c>
    </x:row>
    <x:row r="14" ht="92" customHeight="1">
      <x:c r="A14" s="107" t="str">
        <x:v>PG-08</x:v>
      </x:c>
      <x:c r="B14" s="97" t="str">
        <x:v>Named accountability, monitoring and incident-reporting framework for farm AI</x:v>
      </x:c>
      <x:c r="C14" s="114" t="str">
        <x:v>Governance Readiness</x:v>
      </x:c>
      <x:c r="D14" s="115" t="n">
        <x:f>'Readiness Score'!D7</x:f>
        <x:v>0.3</x:v>
      </x:c>
      <x:c r="E14" s="97" t="str">
        <x:v>Prototype-grade local storage and rule-based outputs are disclosed; production deployment would introduce model, cybersecurity, privacy and operational ownership questions.</x:v>
      </x:c>
      <x:c r="F14" s="97" t="str">
        <x:v>Without a named owner, audit cadence and incident route, drift or harmful recommendations may persist across seasons and affected farmers may not receive corrective action.</x:v>
      </x:c>
      <x:c r="G14" s="97" t="str">
        <x:v>Assign system owner and data controller; maintain model/rule version logs; monitor drift and outcome disparities; define incident severity, notification, corrective action and retirement criteria; publish an annual assurance summary.</x:v>
      </x:c>
      <x:c r="H14" s="97" t="str">
        <x:v>MEWA; SDAIA / NDMO; NCA; operators and vendors</x:v>
      </x:c>
      <x:c r="I14" s="114" t="str">
        <x:v>0–12 months</x:v>
      </x:c>
      <x:c r="J14" s="119" t="str">
        <x:f>IF(D14&lt;40%,"Critical",IF(D14&lt;60%,"High",IF(D14&lt;80%,"Medium","Strategic")))</x:f>
        <x:v>Critical</x:v>
      </x:c>
      <x:c r="K14" s="123" t="str">
        <x:v>https://dgp.sdaia.gov.sa/wps/portal/pdp/knowledgecenter/details/PDPL2/
https://dgp.sdaia.gov.sa/wps/portal/pdp/services/servicesdetails/AIEthicsAssessment/</x:v>
      </x:c>
    </x:row>
  </x:sheetData>
  <x:mergeCells>
    <x:mergeCell ref="A1:K1"/>
    <x:mergeCell ref="A2:K2"/>
    <x:mergeCell ref="A4:B4"/>
    <x:mergeCell ref="D4:F4"/>
    <x:mergeCell ref="H4:J4"/>
  </x:mergeCells>
  <x:conditionalFormatting sqref="J7:J14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Strategic"/>
  </x:conditionalFormatting>
  <x:pageMargins left="0.7" right="0.7" top="0.75" bottom="0.75" header="0.3" footer="0.3"/>
  <x:tableParts count="1">
    <x:tablePart xmlns:r="http://schemas.openxmlformats.org/officeDocument/2006/relationships" r:id="R864687fa740b4b1c"/>
  </x:tableParts>
</x:worksheet>
</file>